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TALLERES ESPECIALIZADOS VERSIONES INDEPENDIENTES\MARCAS Y MODELOS\"/>
    </mc:Choice>
  </mc:AlternateContent>
  <xr:revisionPtr revIDLastSave="0" documentId="13_ncr:1_{25265EC4-EB6E-4A2B-81D1-F8249592A3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LIDADO" sheetId="1" r:id="rId1"/>
  </sheets>
  <definedNames>
    <definedName name="_xlnm._FilterDatabase" localSheetId="0" hidden="1">CONSOLIDADO!$B$5:$U$110</definedName>
    <definedName name="Z_132BFE6F_75BB_448C_855F_F3B7328BD91A_.wvu.FilterData" localSheetId="0" hidden="1">CONSOLIDADO!$A$5:$AC$110</definedName>
    <definedName name="Z_19D31E72_A2BC_4DF4_8A87_62D53E05765F_.wvu.FilterData" localSheetId="0" hidden="1">CONSOLIDADO!$A$5:$T$110</definedName>
    <definedName name="Z_19D6B96F_3789_45FB_BC26_51EA64B0C5D7_.wvu.FilterData" localSheetId="0" hidden="1">CONSOLIDADO!$A$5:$AC$110</definedName>
    <definedName name="Z_4E7A7C50_8FB6_461B_BA0A_BF4262290F57_.wvu.FilterData" localSheetId="0" hidden="1">CONSOLIDADO!$A$5:$AC$110</definedName>
    <definedName name="Z_5C4A1F42_F249_4607_B0F7_D0EEFD30EEDF_.wvu.FilterData" localSheetId="0" hidden="1">CONSOLIDADO!$A$5:$AC$110</definedName>
    <definedName name="Z_5D8A53B3_035A_46E1_BED3_5768E7534BFA_.wvu.FilterData" localSheetId="0" hidden="1">CONSOLIDADO!$A$5:$AC$110</definedName>
    <definedName name="Z_6A9434F6_08BD_418F_9CBA_CD20360856A9_.wvu.FilterData" localSheetId="0" hidden="1">CONSOLIDADO!$B$5:$U$110</definedName>
    <definedName name="Z_86A21194_464B_4320_9122_73478F9E7810_.wvu.FilterData" localSheetId="0" hidden="1">CONSOLIDADO!$A$5:$AC$110</definedName>
    <definedName name="Z_93C6411C_789B_4715_99FF_84F4F00EA341_.wvu.FilterData" localSheetId="0" hidden="1">CONSOLIDADO!$A$5:$AC$110</definedName>
    <definedName name="Z_B74867AD_9926_47F0_900D_1E597DE386AF_.wvu.FilterData" localSheetId="0" hidden="1">CONSOLIDADO!$A$5:$AC$110</definedName>
    <definedName name="Z_D48C7E64_2827_4939_A2A2_3A11149262A6_.wvu.FilterData" localSheetId="0" hidden="1">CONSOLIDADO!$A$5:$U$110</definedName>
    <definedName name="Z_EB873FF7_24B3_4A71_BC66_FBA2FFB77AF4_.wvu.FilterData" localSheetId="0" hidden="1">CONSOLIDADO!$A$5:$AC$110</definedName>
    <definedName name="Z_F4F20F5A_3FE8_478E_9674_ED1394ED8781_.wvu.FilterData" localSheetId="0" hidden="1">CONSOLIDADO!$A$5:$AC$110</definedName>
  </definedNames>
  <calcPr calcId="191029"/>
  <customWorkbookViews>
    <customWorkbookView name="obvs" guid="{5D8A53B3-035A-46E1-BED3-5768E7534BFA}" maximized="1" windowWidth="0" windowHeight="0" activeSheetId="0"/>
    <customWorkbookView name="Naldi" guid="{19D31E72-A2BC-4DF4-8A87-62D53E05765F}" maximized="1" windowWidth="0" windowHeight="0" activeSheetId="0"/>
    <customWorkbookView name="🗳️ revision de fichas" guid="{93C6411C-789B-4715-99FF-84F4F00EA341}" maximized="1" windowWidth="0" windowHeight="0" activeSheetId="0"/>
    <customWorkbookView name="doble compra" guid="{86A21194-464B-4320-9122-73478F9E7810}" maximized="1" windowWidth="0" windowHeight="0" activeSheetId="0"/>
    <customWorkbookView name="tecnico" guid="{4E7A7C50-8FB6-461B-BA0A-BF4262290F57}" maximized="1" windowWidth="0" windowHeight="0" activeSheetId="0"/>
    <customWorkbookView name="campanas y hvac" guid="{5C4A1F42-F249-4607-B0F7-D0EEFD30EEDF}" maximized="1" windowWidth="0" windowHeight="0" activeSheetId="0"/>
    <customWorkbookView name="kevin" guid="{F4F20F5A-3FE8-478E-9674-ED1394ED8781}" maximized="1" windowWidth="0" windowHeight="0" activeSheetId="0"/>
    <customWorkbookView name="Michel" guid="{D48C7E64-2827-4939-A2A2-3A11149262A6}" maximized="1" windowWidth="0" windowHeight="0" activeSheetId="0"/>
    <customWorkbookView name="⏳ fichas finales !!!!" guid="{B74867AD-9926-47F0-900D-1E597DE386AF}" maximized="1" windowWidth="0" windowHeight="0" activeSheetId="0"/>
    <customWorkbookView name="⏳ por validar" guid="{19D6B96F-3789-45FB-BC26-51EA64B0C5D7}" maximized="1" windowWidth="0" windowHeight="0" activeSheetId="0"/>
    <customWorkbookView name="SOLANGE" guid="{EB873FF7-24B3-4A71-BC66-FBA2FFB77AF4}" maximized="1" windowWidth="0" windowHeight="0" activeSheetId="0"/>
    <customWorkbookView name="bruno" guid="{132BFE6F-75BB-448C-855F-F3B7328BD91A}" maximized="1" windowWidth="0" windowHeight="0" activeSheetId="0"/>
    <customWorkbookView name="No complejos" guid="{6A9434F6-08BD-418F-9CBA-CD20360856A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110" i="1" l="1"/>
  <c r="AA110" i="1"/>
  <c r="Z110" i="1"/>
  <c r="Y110" i="1"/>
  <c r="AB109" i="1"/>
  <c r="AA109" i="1"/>
  <c r="Z109" i="1"/>
  <c r="Y109" i="1"/>
  <c r="AB108" i="1"/>
  <c r="AA108" i="1"/>
  <c r="Z108" i="1"/>
  <c r="Y108" i="1"/>
  <c r="AB107" i="1"/>
  <c r="AA107" i="1"/>
  <c r="Z107" i="1"/>
  <c r="Y107" i="1"/>
  <c r="AB106" i="1"/>
  <c r="AA106" i="1"/>
  <c r="Z106" i="1"/>
  <c r="Y106" i="1"/>
  <c r="AB105" i="1"/>
  <c r="AA105" i="1"/>
  <c r="Z105" i="1"/>
  <c r="Y105" i="1"/>
  <c r="AB104" i="1"/>
  <c r="AA104" i="1"/>
  <c r="Z104" i="1"/>
  <c r="Y104" i="1"/>
  <c r="AB103" i="1"/>
  <c r="AA103" i="1"/>
  <c r="Z103" i="1"/>
  <c r="Y103" i="1"/>
  <c r="AB102" i="1"/>
  <c r="AA102" i="1"/>
  <c r="Z102" i="1"/>
  <c r="Y102" i="1"/>
  <c r="AB101" i="1"/>
  <c r="AA101" i="1"/>
  <c r="Z101" i="1"/>
  <c r="Y101" i="1"/>
  <c r="AB100" i="1"/>
  <c r="AA100" i="1"/>
  <c r="Z100" i="1"/>
  <c r="Y100" i="1"/>
  <c r="AB99" i="1"/>
  <c r="AA99" i="1"/>
  <c r="Z99" i="1"/>
  <c r="Y99" i="1"/>
  <c r="AB98" i="1"/>
  <c r="AA98" i="1"/>
  <c r="Z98" i="1"/>
  <c r="Y98" i="1"/>
  <c r="AB97" i="1"/>
  <c r="AA97" i="1"/>
  <c r="Z97" i="1"/>
  <c r="Y97" i="1"/>
  <c r="AB96" i="1"/>
  <c r="AA96" i="1"/>
  <c r="Z96" i="1"/>
  <c r="Y96" i="1"/>
  <c r="AB95" i="1"/>
  <c r="AA95" i="1"/>
  <c r="Z95" i="1"/>
  <c r="Y95" i="1"/>
  <c r="AB94" i="1"/>
  <c r="AA94" i="1"/>
  <c r="Z94" i="1"/>
  <c r="Y94" i="1"/>
  <c r="AB93" i="1"/>
  <c r="AA93" i="1"/>
  <c r="Z93" i="1"/>
  <c r="Y93" i="1"/>
  <c r="AB92" i="1"/>
  <c r="AA92" i="1"/>
  <c r="Z92" i="1"/>
  <c r="Y92" i="1"/>
  <c r="AB91" i="1"/>
  <c r="AA91" i="1"/>
  <c r="Z91" i="1"/>
  <c r="Y91" i="1"/>
  <c r="AB90" i="1"/>
  <c r="AA90" i="1"/>
  <c r="Z90" i="1"/>
  <c r="Y90" i="1"/>
  <c r="AB89" i="1"/>
  <c r="AA89" i="1"/>
  <c r="Z89" i="1"/>
  <c r="Y89" i="1"/>
  <c r="AB88" i="1"/>
  <c r="AA88" i="1"/>
  <c r="Z88" i="1"/>
  <c r="Y88" i="1"/>
  <c r="AB87" i="1"/>
  <c r="AA87" i="1"/>
  <c r="Z87" i="1"/>
  <c r="Y87" i="1"/>
  <c r="AB86" i="1"/>
  <c r="AA86" i="1"/>
  <c r="Z86" i="1"/>
  <c r="Y86" i="1"/>
  <c r="AB85" i="1"/>
  <c r="AA85" i="1"/>
  <c r="Z85" i="1"/>
  <c r="Y85" i="1"/>
  <c r="AB84" i="1"/>
  <c r="AA84" i="1"/>
  <c r="Z84" i="1"/>
  <c r="Y84" i="1"/>
  <c r="AB83" i="1"/>
  <c r="AA83" i="1"/>
  <c r="Z83" i="1"/>
  <c r="Y83" i="1"/>
  <c r="AB82" i="1"/>
  <c r="AA82" i="1"/>
  <c r="Z82" i="1"/>
  <c r="Y82" i="1"/>
  <c r="AB81" i="1"/>
  <c r="AA81" i="1"/>
  <c r="Z81" i="1"/>
  <c r="Y81" i="1"/>
  <c r="AB80" i="1"/>
  <c r="AA80" i="1"/>
  <c r="Z80" i="1"/>
  <c r="Y80" i="1"/>
  <c r="AB79" i="1"/>
  <c r="AA79" i="1"/>
  <c r="Z79" i="1"/>
  <c r="Y79" i="1"/>
  <c r="AB78" i="1"/>
  <c r="AA78" i="1"/>
  <c r="Z78" i="1"/>
  <c r="Y78" i="1"/>
  <c r="AB77" i="1"/>
  <c r="AA77" i="1"/>
  <c r="Z77" i="1"/>
  <c r="Y77" i="1"/>
  <c r="AB76" i="1"/>
  <c r="AA76" i="1"/>
  <c r="Z76" i="1"/>
  <c r="Y76" i="1"/>
  <c r="AB75" i="1"/>
  <c r="AA75" i="1"/>
  <c r="Z75" i="1"/>
  <c r="Y75" i="1"/>
  <c r="AB74" i="1"/>
  <c r="AA74" i="1"/>
  <c r="Z74" i="1"/>
  <c r="Y74" i="1"/>
  <c r="AB73" i="1"/>
  <c r="AA73" i="1"/>
  <c r="Z73" i="1"/>
  <c r="Y73" i="1"/>
  <c r="AB72" i="1"/>
  <c r="AA72" i="1"/>
  <c r="Z72" i="1"/>
  <c r="Y72" i="1"/>
  <c r="AB71" i="1"/>
  <c r="AA71" i="1"/>
  <c r="Z71" i="1"/>
  <c r="Y71" i="1"/>
  <c r="AB70" i="1"/>
  <c r="AA70" i="1"/>
  <c r="Z70" i="1"/>
  <c r="Y70" i="1"/>
  <c r="AB69" i="1"/>
  <c r="AA69" i="1"/>
  <c r="Z69" i="1"/>
  <c r="Y69" i="1"/>
  <c r="AB68" i="1"/>
  <c r="AA68" i="1"/>
  <c r="Z68" i="1"/>
  <c r="Y68" i="1"/>
  <c r="AB67" i="1"/>
  <c r="AA67" i="1"/>
  <c r="Z67" i="1"/>
  <c r="Y67" i="1"/>
  <c r="AB66" i="1"/>
  <c r="AA66" i="1"/>
  <c r="Z66" i="1"/>
  <c r="Y66" i="1"/>
  <c r="AB65" i="1"/>
  <c r="AA65" i="1"/>
  <c r="Z65" i="1"/>
  <c r="Y65" i="1"/>
  <c r="AB64" i="1"/>
  <c r="AA64" i="1"/>
  <c r="Z64" i="1"/>
  <c r="Y64" i="1"/>
  <c r="AB63" i="1"/>
  <c r="AA63" i="1"/>
  <c r="Z63" i="1"/>
  <c r="Y63" i="1"/>
  <c r="AB62" i="1"/>
  <c r="AA62" i="1"/>
  <c r="Z62" i="1"/>
  <c r="Y62" i="1"/>
  <c r="AB61" i="1"/>
  <c r="AA61" i="1"/>
  <c r="Z61" i="1"/>
  <c r="Y61" i="1"/>
  <c r="AB60" i="1"/>
  <c r="AA60" i="1"/>
  <c r="Z60" i="1"/>
  <c r="Y60" i="1"/>
  <c r="AB59" i="1"/>
  <c r="AA59" i="1"/>
  <c r="Z59" i="1"/>
  <c r="Y59" i="1"/>
  <c r="AB58" i="1"/>
  <c r="AA58" i="1"/>
  <c r="Z58" i="1"/>
  <c r="Y58" i="1"/>
  <c r="AB57" i="1"/>
  <c r="AA57" i="1"/>
  <c r="Z57" i="1"/>
  <c r="Y57" i="1"/>
  <c r="AB56" i="1"/>
  <c r="AA56" i="1"/>
  <c r="Z56" i="1"/>
  <c r="Y56" i="1"/>
  <c r="AB55" i="1"/>
  <c r="AA55" i="1"/>
  <c r="Z55" i="1"/>
  <c r="Y55" i="1"/>
  <c r="AB54" i="1"/>
  <c r="AA54" i="1"/>
  <c r="Z54" i="1"/>
  <c r="Y54" i="1"/>
  <c r="AB53" i="1"/>
  <c r="AA53" i="1"/>
  <c r="Z53" i="1"/>
  <c r="Y53" i="1"/>
  <c r="AB52" i="1"/>
  <c r="AA52" i="1"/>
  <c r="Z52" i="1"/>
  <c r="Y52" i="1"/>
  <c r="AB51" i="1"/>
  <c r="AA51" i="1"/>
  <c r="Z51" i="1"/>
  <c r="Y51" i="1"/>
  <c r="AB50" i="1"/>
  <c r="AA50" i="1"/>
  <c r="Z50" i="1"/>
  <c r="Y50" i="1"/>
  <c r="AB49" i="1"/>
  <c r="AA49" i="1"/>
  <c r="Z49" i="1"/>
  <c r="Y49" i="1"/>
  <c r="AB48" i="1"/>
  <c r="AA48" i="1"/>
  <c r="Z48" i="1"/>
  <c r="Y48" i="1"/>
  <c r="AB47" i="1"/>
  <c r="AA47" i="1"/>
  <c r="Z47" i="1"/>
  <c r="Y47" i="1"/>
  <c r="AB46" i="1"/>
  <c r="AA46" i="1"/>
  <c r="Z46" i="1"/>
  <c r="Y46" i="1"/>
  <c r="AB45" i="1"/>
  <c r="AA45" i="1"/>
  <c r="Z45" i="1"/>
  <c r="Y45" i="1"/>
  <c r="AB44" i="1"/>
  <c r="AA44" i="1"/>
  <c r="Z44" i="1"/>
  <c r="Y44" i="1"/>
  <c r="AB43" i="1"/>
  <c r="AA43" i="1"/>
  <c r="Z43" i="1"/>
  <c r="Y43" i="1"/>
  <c r="AB42" i="1"/>
  <c r="AA42" i="1"/>
  <c r="Z42" i="1"/>
  <c r="Y42" i="1"/>
  <c r="AB41" i="1"/>
  <c r="AA41" i="1"/>
  <c r="Z41" i="1"/>
  <c r="Y41" i="1"/>
  <c r="AB40" i="1"/>
  <c r="AA40" i="1"/>
  <c r="Z40" i="1"/>
  <c r="Y40" i="1"/>
  <c r="AB39" i="1"/>
  <c r="AA39" i="1"/>
  <c r="Z39" i="1"/>
  <c r="Y39" i="1"/>
  <c r="AB38" i="1"/>
  <c r="AA38" i="1"/>
  <c r="Z38" i="1"/>
  <c r="Y38" i="1"/>
  <c r="AB37" i="1"/>
  <c r="AA37" i="1"/>
  <c r="Z37" i="1"/>
  <c r="Y37" i="1"/>
  <c r="AB36" i="1"/>
  <c r="AA36" i="1"/>
  <c r="Z36" i="1"/>
  <c r="Y36" i="1"/>
  <c r="AB35" i="1"/>
  <c r="AA35" i="1"/>
  <c r="Z35" i="1"/>
  <c r="Y35" i="1"/>
  <c r="AB34" i="1"/>
  <c r="AA34" i="1"/>
  <c r="Z34" i="1"/>
  <c r="Y34" i="1"/>
  <c r="AB33" i="1"/>
  <c r="AA33" i="1"/>
  <c r="Z33" i="1"/>
  <c r="Y33" i="1"/>
  <c r="AB32" i="1"/>
  <c r="AA32" i="1"/>
  <c r="Z32" i="1"/>
  <c r="Y32" i="1"/>
  <c r="AB31" i="1"/>
  <c r="AA31" i="1"/>
  <c r="Z31" i="1"/>
  <c r="Y31" i="1"/>
  <c r="AB30" i="1"/>
  <c r="AA30" i="1"/>
  <c r="Z30" i="1"/>
  <c r="Y30" i="1"/>
  <c r="AB29" i="1"/>
  <c r="AA29" i="1"/>
  <c r="Z29" i="1"/>
  <c r="Y29" i="1"/>
  <c r="AB28" i="1"/>
  <c r="AA28" i="1"/>
  <c r="Z28" i="1"/>
  <c r="Y28" i="1"/>
  <c r="AB27" i="1"/>
  <c r="AA27" i="1"/>
  <c r="Z27" i="1"/>
  <c r="Y27" i="1"/>
  <c r="AB26" i="1"/>
  <c r="AA26" i="1"/>
  <c r="Z26" i="1"/>
  <c r="Y26" i="1"/>
  <c r="AB25" i="1"/>
  <c r="AA25" i="1"/>
  <c r="Z25" i="1"/>
  <c r="Y25" i="1"/>
  <c r="AB24" i="1"/>
  <c r="AA24" i="1"/>
  <c r="Z24" i="1"/>
  <c r="Y24" i="1"/>
  <c r="AB23" i="1"/>
  <c r="AA23" i="1"/>
  <c r="Z23" i="1"/>
  <c r="Y23" i="1"/>
  <c r="AB22" i="1"/>
  <c r="AA22" i="1"/>
  <c r="Z22" i="1"/>
  <c r="Y22" i="1"/>
  <c r="AB21" i="1"/>
  <c r="AA21" i="1"/>
  <c r="Z21" i="1"/>
  <c r="Y21" i="1"/>
  <c r="AB20" i="1"/>
  <c r="AA20" i="1"/>
  <c r="Z20" i="1"/>
  <c r="Y20" i="1"/>
  <c r="AB19" i="1"/>
  <c r="AA19" i="1"/>
  <c r="Z19" i="1"/>
  <c r="Y19" i="1"/>
  <c r="AB18" i="1"/>
  <c r="AA18" i="1"/>
  <c r="Z18" i="1"/>
  <c r="Y18" i="1"/>
  <c r="AB17" i="1"/>
  <c r="AA17" i="1"/>
  <c r="Z17" i="1"/>
  <c r="Y17" i="1"/>
  <c r="AB16" i="1"/>
  <c r="AA16" i="1"/>
  <c r="Z16" i="1"/>
  <c r="Y16" i="1"/>
  <c r="AB15" i="1"/>
  <c r="AA15" i="1"/>
  <c r="Z15" i="1"/>
  <c r="Y15" i="1"/>
  <c r="AB14" i="1"/>
  <c r="AA14" i="1"/>
  <c r="Z14" i="1"/>
  <c r="Y14" i="1"/>
  <c r="AB13" i="1"/>
  <c r="AA13" i="1"/>
  <c r="Z13" i="1"/>
  <c r="Y13" i="1"/>
  <c r="N13" i="1"/>
  <c r="AB12" i="1"/>
  <c r="AA12" i="1"/>
  <c r="Z12" i="1"/>
  <c r="Y12" i="1"/>
  <c r="AB11" i="1"/>
  <c r="AA11" i="1"/>
  <c r="Z11" i="1"/>
  <c r="Y11" i="1"/>
  <c r="AB10" i="1"/>
  <c r="AA10" i="1"/>
  <c r="Z10" i="1"/>
  <c r="Y10" i="1"/>
  <c r="AB9" i="1"/>
  <c r="AA9" i="1"/>
  <c r="Z9" i="1"/>
  <c r="Y9" i="1"/>
  <c r="AB8" i="1"/>
  <c r="AA8" i="1"/>
  <c r="Z8" i="1"/>
  <c r="Y8" i="1"/>
  <c r="AB7" i="1"/>
  <c r="AA7" i="1"/>
  <c r="Z7" i="1"/>
  <c r="Y7" i="1"/>
  <c r="AB6" i="1"/>
  <c r="AA6" i="1"/>
  <c r="Z6" i="1"/>
  <c r="Y6" i="1"/>
  <c r="J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5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RELACIONADAS AL CUMPLIMIENTO</t>
        </r>
      </text>
    </comment>
    <comment ref="S5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FICHAS TÉCNICAS EN LA CARPETA</t>
        </r>
      </text>
    </comment>
    <comment ref="V5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DOCUMENTO DE SUSTENTO</t>
        </r>
      </text>
    </comment>
    <comment ref="W5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CARTA DE COMPATIBILIDAD ELÉCTRICA
CERTIFICADO DE FUNCIONAMIENTO A 60 HZ
CARTA DE DESCONTINUIDAD</t>
        </r>
      </text>
    </comment>
  </commentList>
</comments>
</file>

<file path=xl/sharedStrings.xml><?xml version="1.0" encoding="utf-8"?>
<sst xmlns="http://schemas.openxmlformats.org/spreadsheetml/2006/main" count="1795" uniqueCount="790">
  <si>
    <t>2.2 - Fichas Técnicas Especializados ( ADQUISICIÓN )</t>
  </si>
  <si>
    <t>SEGUNDA VALIDACIÓN TÉCNICA</t>
  </si>
  <si>
    <t>T. ESPECIALIZADOS - ( DESGLOSE ) 21-10-25</t>
  </si>
  <si>
    <t>ENVIADO A LICITACIONES</t>
  </si>
  <si>
    <t>COMPILADO DE FICHAS (INFORME)</t>
  </si>
  <si>
    <t>Aprobado simple</t>
  </si>
  <si>
    <t>2. Cuadros de Evaluación Técnica</t>
  </si>
  <si>
    <t>HOLZKRAFT</t>
  </si>
  <si>
    <t>REVISADO</t>
  </si>
  <si>
    <t>Por verificar</t>
  </si>
  <si>
    <t>valor</t>
  </si>
  <si>
    <t>no validado por calidad</t>
  </si>
  <si>
    <t>DATOS DEL BIEN</t>
  </si>
  <si>
    <t>DOCUMENTACIÓN DE FT</t>
  </si>
  <si>
    <t>2. EETT Entidad</t>
  </si>
  <si>
    <t>N°</t>
  </si>
  <si>
    <t>EQUIPO VALIDADO</t>
  </si>
  <si>
    <t>TALLER</t>
  </si>
  <si>
    <t>TIPO DE PRODUCTO</t>
  </si>
  <si>
    <t>CÓDIGO ENTIDAD</t>
  </si>
  <si>
    <t>CÓDIGO INTERNO</t>
  </si>
  <si>
    <t>PRODUCTO</t>
  </si>
  <si>
    <t>UND</t>
  </si>
  <si>
    <t>CANTIDAD TOTAL</t>
  </si>
  <si>
    <t>PLAZO DE ADQUISICIÓN</t>
  </si>
  <si>
    <t>CUADRO DE EVALUACIÓN TÉCNICA (CET)</t>
  </si>
  <si>
    <t>COMENTARIO TÉCNICO</t>
  </si>
  <si>
    <t>MARCA</t>
  </si>
  <si>
    <t>MODELO</t>
  </si>
  <si>
    <t>LINK DE REFERENCIA</t>
  </si>
  <si>
    <t>DESGLOSE?</t>
  </si>
  <si>
    <t>¿PIDE MANUAL?</t>
  </si>
  <si>
    <t>FICHAS TECNICAS
(SI O NO)</t>
  </si>
  <si>
    <t>LINK DE FICHA TECNICA</t>
  </si>
  <si>
    <t>EETT</t>
  </si>
  <si>
    <t>DATOS QUE FALTAN / COSAS POR VERIFICAR</t>
  </si>
  <si>
    <t>CARTAS O DOCUMENTOS A SOLICITAR A COMPRAS</t>
  </si>
  <si>
    <t>RESP FICHA TÉCNICA</t>
  </si>
  <si>
    <t>EQUIPOS</t>
  </si>
  <si>
    <t>90 DÍAS CALENDARIO</t>
  </si>
  <si>
    <t>-</t>
  </si>
  <si>
    <t>NO</t>
  </si>
  <si>
    <t>SI</t>
  </si>
  <si>
    <t>12 Taller_Industria_Alimentaria_Firmado.pdf</t>
  </si>
  <si>
    <t>BRUNO</t>
  </si>
  <si>
    <t>5 Taller_Cocina y Respostería_Firmado.pdf</t>
  </si>
  <si>
    <t>RESTANTES</t>
  </si>
  <si>
    <t>170 DÍAS CALENDARIO</t>
  </si>
  <si>
    <t>BOSCH</t>
  </si>
  <si>
    <t>Manual</t>
  </si>
  <si>
    <t>1 Taller_Mecanica_Automotriz_Firmado.pdf</t>
  </si>
  <si>
    <t>ANTONELLA</t>
  </si>
  <si>
    <t>11 Taller_Electrónica_Firmado.pdf</t>
  </si>
  <si>
    <t>NALDI</t>
  </si>
  <si>
    <t>JASON</t>
  </si>
  <si>
    <t>CARTA DE COMPATIBILIDAD ELÉCTRICA</t>
  </si>
  <si>
    <t>No cumple en dimensiones y se tendrá que sustentar.</t>
  </si>
  <si>
    <t>LUIS</t>
  </si>
  <si>
    <t>EBANISTERÍA</t>
  </si>
  <si>
    <t>ESP-128</t>
  </si>
  <si>
    <t>COMPRENSORA DE AIRE DE 50 LITROS</t>
  </si>
  <si>
    <t>ESP-128 COMPRENSORA DE AIRE DE 50 LITROS - CET</t>
  </si>
  <si>
    <t>Las dimensiones son diferentes. La frecuencia es de 50 Hz, no de 60 Hz.</t>
  </si>
  <si>
    <t>GOODYEAR</t>
  </si>
  <si>
    <t>GY 351D</t>
  </si>
  <si>
    <t>https://www.leroymerlin.es/productos/compresor-goodyear-gy351d-3hp-50l-86538711.html</t>
  </si>
  <si>
    <t>ESP-128 COMPRENSORA DE AIRE 50 LITROS</t>
  </si>
  <si>
    <t>6 Taller_Ebanistería_Firmado.pdf</t>
  </si>
  <si>
    <t>CARTA DE COMPATIBILIDAD ELÉCTRICA
CONSULTAS PREGUNTADAS HACE EONES</t>
  </si>
  <si>
    <t>TRUPER</t>
  </si>
  <si>
    <t>8 Taller_Computación e informatica_Firmado.pdf</t>
  </si>
  <si>
    <t>ESP-138</t>
  </si>
  <si>
    <t>CORTADORA LÁSER CO2 (AREA DE TRABAJO MINIMO: 1300 X 900 MM)</t>
  </si>
  <si>
    <t>ESP-138 CORTADORA LÁSER CO2 1300 x 900 mm ( EB ) - CET</t>
  </si>
  <si>
    <t>No menciona la precisión ni cumple con dimensiones.</t>
  </si>
  <si>
    <t>DXTECH</t>
  </si>
  <si>
    <t>1390 CO2</t>
  </si>
  <si>
    <t>https://www.alibaba.com/product-detail/C02-Laser-Cutter-1300x900-Lazer-Cut_1600313544851.html?utm_source=chatgpt.com</t>
  </si>
  <si>
    <t>Software</t>
  </si>
  <si>
    <t>ESP-138 CORTADORA LÁSER CO2 (AREA DE TRABAJO MINIMO: 1300 X 900 MM) - FT</t>
  </si>
  <si>
    <t>ESP-139</t>
  </si>
  <si>
    <t>ESP-139-Y</t>
  </si>
  <si>
    <t>CORTADORA LÁSER CO2 (AREA DE TRABAJO MINIMO: 600 X 400 MM )</t>
  </si>
  <si>
    <t>ESP-139-Y CORTADORA LÁSER CO2 600 x 400 mm ( EB ) - CET</t>
  </si>
  <si>
    <t>THUNDER LASER</t>
  </si>
  <si>
    <t>TITAN 27 CO2 120W</t>
  </si>
  <si>
    <t>https://www.thunderlaser.com/titan-series/</t>
  </si>
  <si>
    <t>ESP-139-Y CORTADORA LÁSER CO2 (AREA DE TRABAJO MINIMO: 600 X 400 MM ) - FT</t>
  </si>
  <si>
    <t>ESP-148</t>
  </si>
  <si>
    <t>DESTORNILLADOR INALÁMBRICO</t>
  </si>
  <si>
    <t>ESP-148-Y</t>
  </si>
  <si>
    <t>ESP-148-Y DESTORNILLADOR INALÁMBRICO - CET</t>
  </si>
  <si>
    <t>Tiene mayor torque máximo, velocidad de giro.</t>
  </si>
  <si>
    <t>GSR 185-LI</t>
  </si>
  <si>
    <t>https://www.bosch-professional.com/cl/es/products/gsr-185-li-06019K30E0</t>
  </si>
  <si>
    <t>ESP-148-Y DESTORNILLADOR INALÁMBRICO - FT</t>
  </si>
  <si>
    <t>ESP-152</t>
  </si>
  <si>
    <t>ENCHAPADORA DE CANTOS CON DEPÓSITO DE COLA Y MESA ESTACIONARIA</t>
  </si>
  <si>
    <t>ESP-152 ENCHAPADORA DE CANTOS CON DEPÓSITO DE COLA Y MESA ESTACIONARIA - CET</t>
  </si>
  <si>
    <t>No cumple con el espesor ni la altura de la banda a cantear.</t>
  </si>
  <si>
    <t>FELDER</t>
  </si>
  <si>
    <t>FORKA 300 S ECO</t>
  </si>
  <si>
    <t>https://www.felder-group.com/es-es/productos/encoladoras-de-cantos-c1954/encoladora-de-cantos-forka-300-s-eco-p3204</t>
  </si>
  <si>
    <t>ESP-152 ENCHAPADORA DE CANTOS</t>
  </si>
  <si>
    <t>LISTA DE ACCESORIO NECESARIOS PARA EL FUNCIONAMIENTO INCLUIDO COMPRESORA</t>
  </si>
  <si>
    <t>MICHEL</t>
  </si>
  <si>
    <t>ESP-155</t>
  </si>
  <si>
    <t>EQUIPO DE ASPIRACIÓN</t>
  </si>
  <si>
    <t>ESP-155 EQUIPO DE ASPIRACIÓN - CET</t>
  </si>
  <si>
    <t>Equipo con dimensiones mayores a las solicitadas y el voltaje es 230V.</t>
  </si>
  <si>
    <t>HOLZSTAR</t>
  </si>
  <si>
    <t>SAA 2001 (230V)</t>
  </si>
  <si>
    <t>https://www.aslak.es/madera/5922201-sistema-de-aspiracion-saa-2001.html</t>
  </si>
  <si>
    <t>ESP-155 EQUIPO DE ASPIRACIÓN</t>
  </si>
  <si>
    <t>ESP-161</t>
  </si>
  <si>
    <t>ESP-161-X</t>
  </si>
  <si>
    <t>ESMERIL DE BANCO</t>
  </si>
  <si>
    <t>ESP-161-X ESMERIL DE BANCO - CET</t>
  </si>
  <si>
    <t>Voltaje de 230VAC, carta de compatibilidad incluída.</t>
  </si>
  <si>
    <t>NTS 256</t>
  </si>
  <si>
    <t>https://www.aslak.es/herramientas-electricas/afiladora-con-agua-universal-nts-256.html</t>
  </si>
  <si>
    <t>ESP-161-X ESMERIL DE BANCO</t>
  </si>
  <si>
    <t>STANLEY</t>
  </si>
  <si>
    <t>UNI-T</t>
  </si>
  <si>
    <t>ESP-187</t>
  </si>
  <si>
    <t>ESP-187-X</t>
  </si>
  <si>
    <t>IMPRESORA 3D</t>
  </si>
  <si>
    <t>ESP-187-X IMPRESORA 3D - CET</t>
  </si>
  <si>
    <t>GARANTÍA Tres (03) años Onsite.
No especifica HIPS 235-245°C</t>
  </si>
  <si>
    <t>K1C</t>
  </si>
  <si>
    <t>https://store.creality.com/es/products/k1c-impresora-3d</t>
  </si>
  <si>
    <t>ESP-187-X IMPRESORA 3D - FT</t>
  </si>
  <si>
    <t>GARANTÍA Tres (03) años Onsite.</t>
  </si>
  <si>
    <t>CARTA DE GARANTÍA</t>
  </si>
  <si>
    <t>Manual, Software</t>
  </si>
  <si>
    <t>EPSON</t>
  </si>
  <si>
    <t>SI ( NV )</t>
  </si>
  <si>
    <t>A MEDIDA 1</t>
  </si>
  <si>
    <t>ESP-219</t>
  </si>
  <si>
    <t>LIJADORA DE BANDA Y DISCO DE MESA</t>
  </si>
  <si>
    <t>ESP-219 LIJADORA DE BANDA Y DISCO DE MESA - CET</t>
  </si>
  <si>
    <t>BTS 201</t>
  </si>
  <si>
    <t>https://www.stuermer-machines.com/search/productdetail/?tx_stuermerprodukte_pi1%5Baction%5D=show&amp;tx_stuermerprodukte_pi1%5Bcontroller%5D=Produkt&amp;tx_stuermerprodukte_pi1%5Bprodukt%5D=5903201&amp;tx_stuermerprodukte_pi1%5Btaxo%5D=10006&amp;tx_stuermerprodukte_pi1%5Bsearch%5D=1&amp;tx_stuermerprodukte_pi1%5BL%5D=1&amp;cHash=b0757ee58159d1cfae7a7b08d3aa2b16#stp-product-rel-tools-assets</t>
  </si>
  <si>
    <t>ESP-219 LIJADORA DE BANDA Y DISCO DE MESA</t>
  </si>
  <si>
    <t>ESP-221</t>
  </si>
  <si>
    <t>LIJADORA ORBITAL PORTÁTIL</t>
  </si>
  <si>
    <t>ESP-221 LIJADORA ORBITAL PORTÁTIL - CET</t>
  </si>
  <si>
    <t>Pedir carta de compatibilidad eléctrica</t>
  </si>
  <si>
    <t>MAKITA</t>
  </si>
  <si>
    <t>BO3711</t>
  </si>
  <si>
    <t>https://www.makita.es/product/bo3711.html</t>
  </si>
  <si>
    <t>ESP-221 LIJADORA ORBITAL PORTÁTIL</t>
  </si>
  <si>
    <t>ESP-239</t>
  </si>
  <si>
    <t>MÁQUINA ENGALLETADORA</t>
  </si>
  <si>
    <t>ESP-239 MÁQUINA ENGALLETADORA - CET</t>
  </si>
  <si>
    <t>PJ7000</t>
  </si>
  <si>
    <t>https://www.makita.es/product/pj7000.html</t>
  </si>
  <si>
    <t>ESP-239 MÁQUINA ENGALLETADORA</t>
  </si>
  <si>
    <t>DETALLES ELÉCTRICOS</t>
  </si>
  <si>
    <t>ESP-242</t>
  </si>
  <si>
    <t>MÁQUINA GARLOPA</t>
  </si>
  <si>
    <t>ESP-242 MÁQUINA GARLOPA - CET</t>
  </si>
  <si>
    <t>BERNARDO</t>
  </si>
  <si>
    <t>FS 310PS (230V)</t>
  </si>
  <si>
    <t>https://www.bernardo.at/es/shop/Cepilladora-y-regruesadora-FS-310-PS--230-V~p86126</t>
  </si>
  <si>
    <t>ESP-242 MÁQUINA GARLOPA - FT</t>
  </si>
  <si>
    <t>ESP-242 MÁQUINA GARLOPA - CARTA DE COMPATIBILIDAD ELÉCTRICA .pdf</t>
  </si>
  <si>
    <t>UT61E+</t>
  </si>
  <si>
    <t>ESP-283</t>
  </si>
  <si>
    <t>MULTITESTER</t>
  </si>
  <si>
    <t>https://meters.uni-trend.com/product/ut61plus-series/</t>
  </si>
  <si>
    <t>ESP-283-Y</t>
  </si>
  <si>
    <t>ESP-283-Y MULTITESTER - CET</t>
  </si>
  <si>
    <t>ESP-283-Y MULTITESTER - FT</t>
  </si>
  <si>
    <t>ESP-286</t>
  </si>
  <si>
    <t>ESP-296</t>
  </si>
  <si>
    <t>PISTOLA DE PINTAR DE GRAVEDAD</t>
  </si>
  <si>
    <t>ESP-296 PISTOLA DE PINTAR DE GRAVEDAD - CET</t>
  </si>
  <si>
    <t>La presion no es la misma pero se encuentra dentro del rango</t>
  </si>
  <si>
    <t>11095 / 14037</t>
  </si>
  <si>
    <t>https://www.truper.com/ficha_tecnica/Pistola-de-aire-SERIE-400-de-gravedadvaso-multiposicion.html?code=11095</t>
  </si>
  <si>
    <t>ESP-296 PISTOLA DE PINTAR DE GRAVEDAD - FT</t>
  </si>
  <si>
    <t>ESP-298</t>
  </si>
  <si>
    <t>PISTOLA SOPLADORA DE AIRE</t>
  </si>
  <si>
    <t>ESP-298 PISTOLA SOPLADORA DE AIRE - CET</t>
  </si>
  <si>
    <t>COLORFIT</t>
  </si>
  <si>
    <t>S-148TC</t>
  </si>
  <si>
    <t>https://miltonindustries.com/collections/air-blow-guns/products/colorfitr-by-milton-s-148tc-1-4-npt-lever-blow-gun-tool-rubber-tip-nozzle-blue?_pos=3&amp;_fid=511a843e2&amp;_ss=c</t>
  </si>
  <si>
    <t>ESP-298 PISTOLA SOPLADORA DE AIRE - FT</t>
  </si>
  <si>
    <t>O - JORGE</t>
  </si>
  <si>
    <t>ESP-325</t>
  </si>
  <si>
    <t>REGRUESADORA (DE MESA)</t>
  </si>
  <si>
    <t>ESP-325 REGRUESADORA (DE MESA) - CET</t>
  </si>
  <si>
    <t>Es ligeramente más grande, aún está por confirmar exactamente cuando más.</t>
  </si>
  <si>
    <t>SCM</t>
  </si>
  <si>
    <t>MINIMAX S 41 ES (230V MONOFÁSICA)</t>
  </si>
  <si>
    <t>https://www.scmgroup.com/es_PE/scmwood/products/maquinas-para-carpinteria.c884/thicknessers-planers.973/minimax-s-41es.667</t>
  </si>
  <si>
    <t>ESP-325 REGRUESADORA (DE MESA) - FT</t>
  </si>
  <si>
    <t>ESP-328</t>
  </si>
  <si>
    <t>RUTEADORA  PORTATIL</t>
  </si>
  <si>
    <t>ESP-328 RUTEADORA  PORTATIL - CET</t>
  </si>
  <si>
    <t>GOF 1600 CE</t>
  </si>
  <si>
    <t>https://www.bosch-professional.com/pe/es/products/gof-1600-ce-06016240E0</t>
  </si>
  <si>
    <t>ESP-328 RUTEADORA  PORTATIL - FT</t>
  </si>
  <si>
    <t>ESP-329</t>
  </si>
  <si>
    <t>RUTEADORA CNC</t>
  </si>
  <si>
    <t>ESP-329 RUTEADORA CNC - CET</t>
  </si>
  <si>
    <t>No se menciona el torque detenido en el husillo DEWALT.</t>
  </si>
  <si>
    <t>CARBIDE 3D</t>
  </si>
  <si>
    <t>SHAPEOKO 4 XXL</t>
  </si>
  <si>
    <t>https://shop.carbide3d.com/products/shapeoko4?variant=33051555987517</t>
  </si>
  <si>
    <t>ESP-329 RUTEADORA CNC - FT</t>
  </si>
  <si>
    <t>ESP-344</t>
  </si>
  <si>
    <t>SIERRA CALADORA</t>
  </si>
  <si>
    <t>ESP-344 SIERRA CALADORA - CET</t>
  </si>
  <si>
    <t>Las dimensiones son distintas.</t>
  </si>
  <si>
    <t>GST 90 BE PROFESSIONAL</t>
  </si>
  <si>
    <t>https://www.bosch-professional.com/pe/es/products/gst-90-be-060158F0E0</t>
  </si>
  <si>
    <t>ESP-344 SIERRA CALADORA - FT</t>
  </si>
  <si>
    <t>ESP-345</t>
  </si>
  <si>
    <t>SIERRA CINTA</t>
  </si>
  <si>
    <t>ESP-345 SIERRA CINTA - CET</t>
  </si>
  <si>
    <t>HBS 431 (IE2) - 230V</t>
  </si>
  <si>
    <t>https://www.aslak.es/herramientas-electricas/sierra-de-cinta-hbs-431-ie2-230-v.html</t>
  </si>
  <si>
    <t>ESP-345 SIERRA CINTA - FT</t>
  </si>
  <si>
    <t>CARTA DE COMPATIBILIDAD ELÉCTRICA - HOLZSTAR, OPTIMUN, HOLZKRAFT.pdf</t>
  </si>
  <si>
    <t>ESP-347</t>
  </si>
  <si>
    <t>SIERRA CIRCULAR</t>
  </si>
  <si>
    <t>ESP-347 SIERRA CIRCULAR - CET</t>
  </si>
  <si>
    <t>Equipo con dimensiones mayores a las solicitadas.</t>
  </si>
  <si>
    <t>K3 BASIC</t>
  </si>
  <si>
    <t>https://www.felder-group.com/WEB/Machines/Manuals/K3/503010-902_02_2211_HA_BA_K3_basic_winner_ENG_Lo.pdf</t>
  </si>
  <si>
    <t>ESP-347 SIERRA CIRCULAR - FT</t>
  </si>
  <si>
    <t>ESP-349</t>
  </si>
  <si>
    <t>SIERRA RADIAL</t>
  </si>
  <si>
    <t>ESP-349 SIERRA RADIAL - CET</t>
  </si>
  <si>
    <t>Equipo mayor en tamaño</t>
  </si>
  <si>
    <t>DEWALT</t>
  </si>
  <si>
    <t>DW721KN-QS</t>
  </si>
  <si>
    <t>https://www.dewalt.es/producto/dw721kn-qs/sierra-de-brazo-radial-2000w-2-hp-o300mm-monofasica-prof-90mm</t>
  </si>
  <si>
    <t>ESP-349 SIERRA RADIAL</t>
  </si>
  <si>
    <t>OPTIMUM</t>
  </si>
  <si>
    <t>OPTIDRILL D 26PRO</t>
  </si>
  <si>
    <t>https://www.aslak.es/herramientas-electricas/taladro-de-columna-optidrill-d-26pro-230v-1ph-optidrill-d-26pro-230v-1ph.html</t>
  </si>
  <si>
    <t>ESP-355</t>
  </si>
  <si>
    <t>TALADRO DE COLUMNA DE MESA</t>
  </si>
  <si>
    <t>ESP-355 TALADRO DE COLUMNA DE MESA - CET</t>
  </si>
  <si>
    <t>El voltaje es de 230V y la frecuencia no es especificada</t>
  </si>
  <si>
    <t>ESP-355 TALADRO DE COLUMNA DE MESA</t>
  </si>
  <si>
    <t>ESP-356</t>
  </si>
  <si>
    <t>TALADRO HORIZONTAL / ESCOPLEADORA</t>
  </si>
  <si>
    <t>ESP-356 TALADRO HORIZONTAL / ESCOPLEADORA - CET</t>
  </si>
  <si>
    <t>No se especifica las dimensiones, el voltaje es 230 V y la frecuencia es 50 Hz</t>
  </si>
  <si>
    <t>HOLZMANN</t>
  </si>
  <si>
    <t>LBM290 230V</t>
  </si>
  <si>
    <t>https://www.holzmann-maschinen.at/ES/Mortajadora-horizontal-845</t>
  </si>
  <si>
    <t>ESP-356 TALADRO HORIZONTAL ESCOPLEADORA - FT</t>
  </si>
  <si>
    <t>TALADRO PORTÁTIL</t>
  </si>
  <si>
    <t>Opera de 230V y tiene mayores prestaciones de perforación.</t>
  </si>
  <si>
    <t>GSB 16 RE
0 601 14E 500</t>
  </si>
  <si>
    <t>https://docs.google.com/spreadsheets/d/1w2Soqgpp-UNY3Onqy78_JmDsFa_CpNfhVoNlwWZvbNo/edit?gid=0#gid=0</t>
  </si>
  <si>
    <t>ESP-360</t>
  </si>
  <si>
    <t>ESP-360 TALADRO PORTÁTIL - CET</t>
  </si>
  <si>
    <t>ESP-360 TALADRO PORTÁTIL - FT</t>
  </si>
  <si>
    <t>ESP-371</t>
  </si>
  <si>
    <t>TORNO DE MADERA DE 90 CM ENTRE PUNTAS</t>
  </si>
  <si>
    <t>ESP-371 TORNO DE MADERA DE 90 CM ENTRE PUNTAS - CET</t>
  </si>
  <si>
    <t>DB 900</t>
  </si>
  <si>
    <t>https://www.aslak.es/madera/5920900-torno-para-madera-db-900.html</t>
  </si>
  <si>
    <t>ESP-371 TORNO DE MADERA DE 90 CM ENTRE PUNTAS</t>
  </si>
  <si>
    <t>HERRAMIENTAS</t>
  </si>
  <si>
    <t>COM-102</t>
  </si>
  <si>
    <t>ACEITERA</t>
  </si>
  <si>
    <t>https://drive.google.com/drive/folders/1Q6KY0XfHbVu-HqzDMNEnR9FPIyB6K_X8</t>
  </si>
  <si>
    <t>COM-102-X</t>
  </si>
  <si>
    <t>COM-102-X ACEITERA - CET</t>
  </si>
  <si>
    <t>SAMOA</t>
  </si>
  <si>
    <t>MSM-500</t>
  </si>
  <si>
    <t>https://rodavigo.net/es/p/aceitera-metalica-msm-500-cc-ref-samoa-175250/294175250</t>
  </si>
  <si>
    <t>COM-102-X ACEITERA - FT</t>
  </si>
  <si>
    <t>COM-103</t>
  </si>
  <si>
    <t>ADAPTADOR MAGNETICO PARA PUNTAS</t>
  </si>
  <si>
    <t>COM-103 ADAPTADOR MAGNETICO PARA PUNTAS - CET</t>
  </si>
  <si>
    <t>DOITOOL</t>
  </si>
  <si>
    <t>05IM7S1722CXXB7</t>
  </si>
  <si>
    <t>https://www.amazon.com/DOITOOL-Magnetic-Extension-Compatible-Professional/dp/B0F4PZ6YGV?utm_source=chatgpt.com&amp;th=1</t>
  </si>
  <si>
    <t>COM-103 ADAPTADOR MAGNETICO PARA PUNTAS - FT</t>
  </si>
  <si>
    <t>COM-119</t>
  </si>
  <si>
    <t>JUEGO DE BROCAS PARA BISAGRA DE CANGREJO</t>
  </si>
  <si>
    <t>COM-119 JUEGO DE BROCAS PARA BISAGRA DE CANGREJO - CET</t>
  </si>
  <si>
    <t>Diager</t>
  </si>
  <si>
    <t>940D</t>
  </si>
  <si>
    <t>https://mistermateriaux.com/produit/foret-bois/4twvjb</t>
  </si>
  <si>
    <t>COM-119 JUEGO DE BROCAS PARA BISAGRA DE CANGREJO - FT</t>
  </si>
  <si>
    <t>COM-120</t>
  </si>
  <si>
    <t>CABALLETES</t>
  </si>
  <si>
    <t>COM-120 CABALLETES - CET</t>
  </si>
  <si>
    <t>Material diferente al solicitado.</t>
  </si>
  <si>
    <t>ASLAK</t>
  </si>
  <si>
    <t>TAB 1300</t>
  </si>
  <si>
    <t>https://www.aslak.es/madera/5900007-caballete-extensible-tab-1300.html</t>
  </si>
  <si>
    <t>COM-120 CABALLETES - FT</t>
  </si>
  <si>
    <t>COM-126</t>
  </si>
  <si>
    <t>COM-126-W</t>
  </si>
  <si>
    <t>CALIBRADOR DIGITAL</t>
  </si>
  <si>
    <t>COM-126-W CALIBRADOR DIGITAL - CET</t>
  </si>
  <si>
    <t>https://www.truper.com/ficha_tecnica/Calibrador-digital-de-6-milimetrico-y-standard-688.html?code=14388</t>
  </si>
  <si>
    <t>COM-126-W CALIBRADOR DIGITAL - FT</t>
  </si>
  <si>
    <t>COM-134</t>
  </si>
  <si>
    <t>JUEGO DE CINTA DENTADA PARA SIERRA CINTA</t>
  </si>
  <si>
    <t>COM-134 JUEGO DE CINTA DENTADA PARA SIERRA CINTA - CET</t>
  </si>
  <si>
    <t>Las sierras Wikus y Starrett no se tiene la certeza de que cumplan la longitud de 3345 mm para la medida de 16 x 0,65 mm. Se identificó la LEGNEX, que sí cumple. En caso se apruebe la compra, falta la FT.</t>
  </si>
  <si>
    <t>VARIOS</t>
  </si>
  <si>
    <t>VARIOS 7</t>
  </si>
  <si>
    <t>https://www.wikus.de/es/productos/hojas-de-sierra-de-cinta/hojas-de-sierra-de-cinta-bimetalicas/proflex-m42</t>
  </si>
  <si>
    <t>COM-134 JUEGO DE CINTA DENTADA PARA SIERRA CINTA - FT</t>
  </si>
  <si>
    <t>COM-147</t>
  </si>
  <si>
    <t>DISCO DE SIERRA CIRCULAR</t>
  </si>
  <si>
    <t>COM-147 DISCO DE SIERRA CIRCULAR - CET</t>
  </si>
  <si>
    <t>DWA03230</t>
  </si>
  <si>
    <r>
      <rPr>
        <u/>
        <sz val="10"/>
        <color rgb="FF1155CC"/>
        <rFont val="Roboto"/>
      </rPr>
      <t>https://cahema.pe/discos-de-sierra/1236-disco-sierra-12-adaptadores-80-dientes-aluminio-885911493901.html</t>
    </r>
    <r>
      <rPr>
        <u/>
        <sz val="10"/>
        <color rgb="FF0000FF"/>
        <rFont val="Roboto"/>
      </rPr>
      <t xml:space="preserve"> </t>
    </r>
  </si>
  <si>
    <t>COM-147 DISCO DE SIERRA CIRCULAR - FT</t>
  </si>
  <si>
    <t>COM-148</t>
  </si>
  <si>
    <t>DISCO DE SIERRA RADIAL</t>
  </si>
  <si>
    <t>COM-148 DISCO DE SIERRA RADIAL - CET</t>
  </si>
  <si>
    <t>Material diferente al solicitado. Johan comenta que el disco no es compatible con el equipo durante la grabación de los videos.</t>
  </si>
  <si>
    <r>
      <rPr>
        <u/>
        <sz val="10"/>
        <color rgb="FF1155CC"/>
        <rFont val="Roboto"/>
      </rPr>
      <t>https://cahema.pe/discos-de-sierra/1236-disco-sierra-12-adaptadores-80-dientes-aluminio-885911493901.html</t>
    </r>
    <r>
      <rPr>
        <u/>
        <sz val="10"/>
        <color rgb="FF0000FF"/>
        <rFont val="Roboto"/>
      </rPr>
      <t xml:space="preserve"> </t>
    </r>
  </si>
  <si>
    <t>COM-148 DISCO DE SIERRA RADIAL - FT</t>
  </si>
  <si>
    <t>COM-149</t>
  </si>
  <si>
    <t>DISCO PARA SIERRA CIRCULAR PARA CORTE DE TABLEROS MELAMINICOS</t>
  </si>
  <si>
    <t>COM-149 DISCO PARA SIERRA CIRCULAR PARA CORTE DE TABLEROS MELAMINICOS - CET</t>
  </si>
  <si>
    <t>2608.642.202-000</t>
  </si>
  <si>
    <t>https://cahema.pe/discos-de-sierra/1799-disco-sierra-10-x-100-dientes-multimaterial-bosch-3165140602099.html</t>
  </si>
  <si>
    <t>COM-149 DISCO PARA SIERRA CIRCULAR PARA CORTE DE TABLEROS MELAMINICOS - FT</t>
  </si>
  <si>
    <t>COM-153</t>
  </si>
  <si>
    <t>DISTANCIÓMETRO LASER DE 20 M</t>
  </si>
  <si>
    <t>COM-153 DISTANCIÓMETRO LASER DE 20 M - CET</t>
  </si>
  <si>
    <t>MULTICOMP</t>
  </si>
  <si>
    <t>MP780997</t>
  </si>
  <si>
    <t>https://es.farnell.com/en-ES/multicomp-pro/mp780997/laser-distance-meter-50m-lcd-2xaaa/dp/4179002?srsltid=AfmBOoreugdqCmy_36Zv7n25NHkQ1r4ejExpmv-bbTJmh6vQ2h2UsHWb</t>
  </si>
  <si>
    <t>COM-153 DISTANCIÓMETRO LASER DE 20 M - FT</t>
  </si>
  <si>
    <t>https://drive.google.com/drive/u/0/folders/1DGShzChAOx3qCAUCocOP9FgLBTAzHQYQ</t>
  </si>
  <si>
    <t>COM-161</t>
  </si>
  <si>
    <t>COM-161-X</t>
  </si>
  <si>
    <t>ESCUADRA DE COMBINACIÓN</t>
  </si>
  <si>
    <t>COM-161-X ESCUADRA DE COMBINACIÓN- CET</t>
  </si>
  <si>
    <t>Vogel Germany</t>
  </si>
  <si>
    <t>https://store.ferrindustrial.com.pe/producto/escuadra-de-combinacion-12-300mm-set-de-4pzas-508090-vogel-germany/</t>
  </si>
  <si>
    <t>COM-161-X ESCUADRA DE COMBINACIÓN - FT</t>
  </si>
  <si>
    <t>COM-162</t>
  </si>
  <si>
    <t>ESCUADRA DE PLANCHA</t>
  </si>
  <si>
    <t>COM-162 ESCUADRA DE PLANCHA - CET</t>
  </si>
  <si>
    <t>https://drive.google.com/file/d/1mAbNESsfnkT2ppW7stcYVdeUB1G7FCQi/view?usp=sharing</t>
  </si>
  <si>
    <t>COM-162 ESCUADRA DE PLANCHA - FT</t>
  </si>
  <si>
    <t>COM-163</t>
  </si>
  <si>
    <t>COM-163-X</t>
  </si>
  <si>
    <t>ESCUADRA DE TOPE</t>
  </si>
  <si>
    <t>COM-163-X ESCUADRA DE TOPE- CET</t>
  </si>
  <si>
    <t>COM-163-X ESCUADRA DE TOPE- FT</t>
  </si>
  <si>
    <t>COM-171</t>
  </si>
  <si>
    <t>FALSA ESCUADRA</t>
  </si>
  <si>
    <t>COM-171 FALSA ESCUADRA - CET</t>
  </si>
  <si>
    <t>SOLA</t>
  </si>
  <si>
    <t>VSTG 250</t>
  </si>
  <si>
    <t>https://www.sola.at/en/products/vstg-p3890</t>
  </si>
  <si>
    <t>COM-171 FALSA ESCUADRA - FT</t>
  </si>
  <si>
    <t>GAM 220 MF</t>
  </si>
  <si>
    <t>COM-173</t>
  </si>
  <si>
    <t>GRAMIL DIGITAL</t>
  </si>
  <si>
    <t>COM-173 GRAMIL DIGITAL - CET</t>
  </si>
  <si>
    <t>MOORE &amp; WRIGHT</t>
  </si>
  <si>
    <t>MW192-20D</t>
  </si>
  <si>
    <t>https://es.rs-online.com/web/p/calibres-de-altura/0390942</t>
  </si>
  <si>
    <t>COM-173 GRAMIL DIGITAL - FT</t>
  </si>
  <si>
    <t>BAHCO</t>
  </si>
  <si>
    <t>COM-176</t>
  </si>
  <si>
    <t>KIT DE GUIA DE SISTEMA DE ENSAMBLAJE INVISIBLE</t>
  </si>
  <si>
    <t>COM-176 KIT DE GUIA DE SISTEMA DE ENSAMBLAJE INVISIBLE- CET</t>
  </si>
  <si>
    <t>Wolfcraft</t>
  </si>
  <si>
    <t>WLF 4642000</t>
  </si>
  <si>
    <t>https://www.amazon.es/Wolfcraft-4642000-Undercover-fijaci%C3%B3n-invisible/dp/B000P37JQK?th=1</t>
  </si>
  <si>
    <t>COM-176 KIT DE GUIA DE SISTEMA DE ENSAMBLAJE INVISIBLE - FT</t>
  </si>
  <si>
    <t>COM-177</t>
  </si>
  <si>
    <t>JUEGO DE GUIA PARA ESPIGAS O TARUGOS</t>
  </si>
  <si>
    <t>COM-177 JUEGO DE GUIA PARA ESPIGAS O TARUGOS - CET</t>
  </si>
  <si>
    <t>Está dentro del rango máximo solicitado, 17 mm a 50 mm.</t>
  </si>
  <si>
    <t>FICTORY</t>
  </si>
  <si>
    <t>B07XTDHGQD</t>
  </si>
  <si>
    <t>https://www.amazon.es/perforaci%C3%B3n-Herramienta-localizaci%C3%B3n-posicionador-carpinter%C3%ADa/dp/B07XTDHGQD?ie=UTF8&amp;useRedirectOnSuccess=1&amp;ref_=dex_glow_signin&amp;path=%2Fperforaci%25C3%25B3n-Herramienta-localizaci%25C3%25B3n-posicionador-carpinter%25C3%25ADa%2Fdp%2FB07XTDHGQD</t>
  </si>
  <si>
    <t>COM-177 JUEGO DE GUIA PARA ESPIGAS O TARUGOS - FT</t>
  </si>
  <si>
    <t>EXPERT 50004</t>
  </si>
  <si>
    <t>https://drive.google.com/file/d/12PVAVdDlw42qXgrqS_LPy-TIVNZKCSZ2/view?usp=sharing</t>
  </si>
  <si>
    <t>COM-181</t>
  </si>
  <si>
    <t>JUEGO DE BROCAS DE COPA PARA MADERA</t>
  </si>
  <si>
    <t>COM-181 JUEGO DE BROCAS DE COPA PARA MADERA - CET</t>
  </si>
  <si>
    <t>Stalwart</t>
  </si>
  <si>
    <t>https://www.wayfair.com/storage-organization/pdp/stalwart-hole-saw-set-16-piece-kit-with-12-saws-5-inch-hex-key-wrench-drive-plate-and-storage-case-tcwj1151.html</t>
  </si>
  <si>
    <t>COM-181 JUEGO DE BROCAS DE COPA PARA MADERA - FT</t>
  </si>
  <si>
    <t>COM-183</t>
  </si>
  <si>
    <t>JUEGO DE BROCAS PARA METAL, MADERA, CEMENTO.</t>
  </si>
  <si>
    <t>COM-183 JUEGO DE BROCAS PARA METAL, MADERA, CEMENTO - CET</t>
  </si>
  <si>
    <t>COM-183 JUEGO DE BROCAS PARA METAL, MADERA, CEMENTO - FT</t>
  </si>
  <si>
    <t>COM-184</t>
  </si>
  <si>
    <t>JUEGO DE COMPASES</t>
  </si>
  <si>
    <t>COM-184JUEGO DE COMPASES - CET</t>
  </si>
  <si>
    <t>No indica que el pin sea templado. Decidir si se edita la FT para incluir la información o mantener el sustento.</t>
  </si>
  <si>
    <t>Vogel</t>
  </si>
  <si>
    <t>https://store.ferrindustrial.com.pe/producto/compas-exterior-de-12-302466-vogel-germany/</t>
  </si>
  <si>
    <t>COM-184 JUEGO DE COMPASES - FT</t>
  </si>
  <si>
    <t>COM-185</t>
  </si>
  <si>
    <t>JUEGO DE DADOS</t>
  </si>
  <si>
    <t>COM-185 JUEGO DE DADOS - CET</t>
  </si>
  <si>
    <t>Se comprenden medidas dentro del rango solicitado.</t>
  </si>
  <si>
    <t>JD-135MP</t>
  </si>
  <si>
    <t>https://www.truper.com/ficha_tecnica/Juego-de-autocle-135-piezas-standard-y-milimetricos-1640.html?code=13975</t>
  </si>
  <si>
    <t>COM-185 JUEGO DE DADOS - FT</t>
  </si>
  <si>
    <t>COM-186</t>
  </si>
  <si>
    <t>JUEGO DE FRESAS PARA RUTEADORA</t>
  </si>
  <si>
    <t>COM-186 JUEGO DE FRESAS PARA RUTEADORA - CET</t>
  </si>
  <si>
    <t>UYUSTOOLS</t>
  </si>
  <si>
    <t>CQT024</t>
  </si>
  <si>
    <t>https://www.itools.pe/product/juego-de-fresas-1-4-para-madera?srsltid=AfmBOoocm6Kc-SBxYH3geEBJQ1FWp4a83bFoAw6oYFLUSMBlJ46FSOp4</t>
  </si>
  <si>
    <t>COM-186 JUEGO DE FRESAS PARA RUTEADORA - FT</t>
  </si>
  <si>
    <t>COM-187</t>
  </si>
  <si>
    <t>JUEGO DE GUBIAS PARA TORNO</t>
  </si>
  <si>
    <t>COM-187 JUEGO DE GUBIAS PARA TORNO - CET</t>
  </si>
  <si>
    <t>IMOTECHOM</t>
  </si>
  <si>
    <t>MTA0001A</t>
  </si>
  <si>
    <t>https://www.amazon.com/-/es/IMOTECHOM-Juego-cinceles-madera-piezas/dp/B07RN4G83B/ref=sr_1_11?__mk_es_US=%C3%85M%C3%85%C5%BD%C3%95%C3%91&amp;crid=2AUEBLT5XC0M9&amp;dib=eyJ2IjoiMSJ9.6ocz4V8b3RAvMEfWVyNy4eARkLdfdE9w7dn6_7t0zV2HTn8J8JhPPRflFdlrz8539noCFYQbAekzAI0bBI6JzpZTiWWQi6V5aI01LojrsiauJrX0_QhtfJdSOJ4sp00_FbabqR1EjWnc8qxZgLEvsrw0nQL2nJSE9W63OrT2rDA3G5Iv27evhfdNUzGdoZekPlEQtwHLUk7Q84PU3KT_tA5FhZXtTPE4Pwf2GSu_6nmVqWYcpAznED1JEezU_FGtzd71MFTQQkfk4HbAMW4pb7YtW6gnsgWKUYsG2HjUoAY.Y5G7idF6ZpuJRnm9bZu8BcTioJ1_7WyDkriFUghaZjI&amp;dib_tag=se&amp;keywords=JUEGO+DE+CINCELES+IMOTECHOM&amp;qid=1763063717&amp;sprefix=juego+de+cinceles+imotechom%2Caps%2C221&amp;sr=8-11</t>
  </si>
  <si>
    <t>COM-187 JUEGO DE GUBIAS PARA TORNO - FT</t>
  </si>
  <si>
    <t>COM-188</t>
  </si>
  <si>
    <t>JUEGO DE HOJAS DE SIERRA</t>
  </si>
  <si>
    <t>COM-188 JUEGO DE HOJAS DE SIERRA - CET</t>
  </si>
  <si>
    <t>Bosch</t>
  </si>
  <si>
    <t>https://www.amazon.es/Bosch-2607010629-Hojas-Sierra-Piezas/dp/B003TWP1QO?th=1</t>
  </si>
  <si>
    <t>COM-188 JUEGO DE HOJAS DE SIERRA - FT</t>
  </si>
  <si>
    <t>COM-191</t>
  </si>
  <si>
    <t>JUEGO DE MECHAS O FRESAS PARA RUTEADORA CNC</t>
  </si>
  <si>
    <t>COM-191 JUEGO DE MECHAS O FRESAS PARA RUTEADORA CNC - CET</t>
  </si>
  <si>
    <t>VARIOS 8</t>
  </si>
  <si>
    <t>COM-191 JUEGO DE MECHAS O FRESAS PARA RUTEADORA CNC - FT</t>
  </si>
  <si>
    <t>COM-194</t>
  </si>
  <si>
    <t>JUEGO DE PUNTAS MAGNÉTICAS PARA DESTORNILLADOR</t>
  </si>
  <si>
    <t>COM-194 JUEGO DE PUNTAS MAGNÉTICAS PARA DESTORNILLADOR - CET</t>
  </si>
  <si>
    <t>https://www.bosch-professional.com/sa/en/extra-hard-screwdriver-bit-mixed-sets-compact-for-various-screw-types-with-magnetic-universal-holder-2867918-ocs-ac/</t>
  </si>
  <si>
    <t>COM-194 JUEGO DE PUNTAS MAGNÉTICAS PARA DESTORNILLADOR - FT</t>
  </si>
  <si>
    <t>COM-207</t>
  </si>
  <si>
    <t>LINTERNA FRONTAL</t>
  </si>
  <si>
    <t>COM-207 LINTERNA FRONTAL - CET</t>
  </si>
  <si>
    <t>Se cambió el requerimiento de pilas a 4 unidades AA.</t>
  </si>
  <si>
    <t>https://www.truper.com/ficha_tecnica/Linterna-para-cabeza-4-pilas-AA-800-lumenes-1-LED-252667.html?code=11853</t>
  </si>
  <si>
    <t>COM-207 LINTERNA FRONTAL - FT</t>
  </si>
  <si>
    <t>O - OSCAR</t>
  </si>
  <si>
    <t>COM-226</t>
  </si>
  <si>
    <t>MEDIDOR DE HUMEDAD</t>
  </si>
  <si>
    <t>COM-226 MEDIDOR DE HUMEDAD - CET</t>
  </si>
  <si>
    <t>El voltaje de las pilas es de 1.5 V</t>
  </si>
  <si>
    <t>Armotec</t>
  </si>
  <si>
    <t>AMA005</t>
  </si>
  <si>
    <t>https://armotec.pe/products/medidor-de-humedad-de-materiales-ama005</t>
  </si>
  <si>
    <t>COM-226 MEDIDOR DE HUMEDAD - FT</t>
  </si>
  <si>
    <t>COM-242</t>
  </si>
  <si>
    <t>MUESTRARIO DE ESPECIES MADERERAS</t>
  </si>
  <si>
    <t>COM-242 MUESTRARIO DE ESPECIES MADERERAS - CET</t>
  </si>
  <si>
    <t>No tiene los tipos de madera solicitados.</t>
  </si>
  <si>
    <t>COM-243</t>
  </si>
  <si>
    <t>MUESTRARIO DE TABLEROS PREFABRICADOS</t>
  </si>
  <si>
    <t>COM-243 MUESTRARIO DE TABLEROS PREFABRICADOS - CET</t>
  </si>
  <si>
    <t>COM-244</t>
  </si>
  <si>
    <t>MUESTRARIO DE TAPACANTOS</t>
  </si>
  <si>
    <t>COM-244 MUESTRARIO DE TAPACANTOS - CET</t>
  </si>
  <si>
    <t>Tiene distinto espesor y dimensiones generales.</t>
  </si>
  <si>
    <t>MASISA / DVP Perú</t>
  </si>
  <si>
    <t>COM-244 MUESTRARIO DE TAPACANTOS - FT</t>
  </si>
  <si>
    <t>COM-246</t>
  </si>
  <si>
    <t>NIVEL DE NIVELACIÓN Y MEDICIÓN DE ÁNGULOS DIGITAL</t>
  </si>
  <si>
    <t>COM-246 NIVEL DE NIVELACIÓN Y MEDICIÓN DE ÁNGULOS DIGITAL - CET</t>
  </si>
  <si>
    <t>https://www.plazavea.com.pe/medidor-de-angulos-bosch-gam-220-mf-101376464/p?gclsrc=aw.ds&amp;gad_source=1&amp;gad_campaignid=22403266061&amp;gbraid=0AAAAAqXj2Lpfnd6JpmOx6JThZB7KPUFi6&amp;gclid=CjwKCAjwup3HBhAAEiwA7euZumam8kcQ1iRZrsmfFukh4bx-BWQQbG_nMh7nCD8RCwgZaG0hjaP0DxoCY5wQAvD_BwE</t>
  </si>
  <si>
    <t>COM-246 NIVEL DE NIVELACIÓN Y MEDICIÓN DE ÁNGULOS DIGITAL - FT</t>
  </si>
  <si>
    <t>COM-256</t>
  </si>
  <si>
    <t>PIEDRA DE ASENTAR</t>
  </si>
  <si>
    <t>COM-256 PIEDRA DE ASENTAR - CET</t>
  </si>
  <si>
    <t>TOOLCRAFT</t>
  </si>
  <si>
    <t>TC5082</t>
  </si>
  <si>
    <t>https://cahema.pe/piedra-de-afilar/19249-piedra-de-afilar-6-x-2-x-1-toolcraft-tc5082-7501892864945.html</t>
  </si>
  <si>
    <t>COM-256 PIEDRA DE ASENTAR - FT</t>
  </si>
  <si>
    <t>COM-262</t>
  </si>
  <si>
    <t>PRENSA ESQUINERA</t>
  </si>
  <si>
    <t>COM-262 PRENSA ESQUINERA - CET</t>
  </si>
  <si>
    <t>https://cahema.pe/esquinera/15183-prensa-esquinera-3-truper-17690-7501206625194.html</t>
  </si>
  <si>
    <t>COM-262 PRENSA ESQUINERA - FT</t>
  </si>
  <si>
    <t>COM-300</t>
  </si>
  <si>
    <t>TORNILLO DE BANCO</t>
  </si>
  <si>
    <t>COM-300 TORNILLO DE BANCO - CET</t>
  </si>
  <si>
    <t>83-066</t>
  </si>
  <si>
    <t>https://prosinfer.pe/product/tornillo-de-banco-4-125-mm-stanley-83-066/</t>
  </si>
  <si>
    <t>COM-300 TORNILLO DE BANCO - FT</t>
  </si>
  <si>
    <t>COM-303</t>
  </si>
  <si>
    <t>TRANSPORTADOR DE ANGULOS</t>
  </si>
  <si>
    <t>COM-303 TRANSPORTADOR DE ANGULOS - CET</t>
  </si>
  <si>
    <t>Tiene mayor longitud de la regla</t>
  </si>
  <si>
    <t>VOGEL GERMANY</t>
  </si>
  <si>
    <t>https://store.ferrindustrial.com.pe/producto/transportador-de-angulos-inox-180o-de-80mm-x-150mm-322541-vogel-germany/</t>
  </si>
  <si>
    <t>COM-303 TRANSPORTADOR DE ANGULOS - FT</t>
  </si>
  <si>
    <t>COM-306</t>
  </si>
  <si>
    <t>WINCHA DIGITAL</t>
  </si>
  <si>
    <t>COM-306 WINCHA DIGITAL - CET</t>
  </si>
  <si>
    <t>El tipo de pantalla no es el requerido</t>
  </si>
  <si>
    <t>MILESEEY</t>
  </si>
  <si>
    <t>B092MG3DVG</t>
  </si>
  <si>
    <t>https://www.amazon.com/-/es/dp/B092MG3DVG?ref=fed_asin_title&amp;th=1</t>
  </si>
  <si>
    <t>COM-306 WINCHA DIGITAL - FT</t>
  </si>
  <si>
    <t>HER-106</t>
  </si>
  <si>
    <t>ALICATE PELACABLE</t>
  </si>
  <si>
    <t>HER-106-Y</t>
  </si>
  <si>
    <t>HER-106-Y ALICATE PELACABLE- CET</t>
  </si>
  <si>
    <t>No se indican las medidas del crimpeador de cables, pero deberían ser compatibles.</t>
  </si>
  <si>
    <t>PE-CA-9</t>
  </si>
  <si>
    <t>HER-106-Y ALICATE PELACABLE - FT</t>
  </si>
  <si>
    <t>HER-110</t>
  </si>
  <si>
    <t>HER-110-X</t>
  </si>
  <si>
    <t>ARCO DE SIERRA</t>
  </si>
  <si>
    <t>HER-110-X ARCO DE SIERRA - CET</t>
  </si>
  <si>
    <t xml:space="preserve">TRUPER </t>
  </si>
  <si>
    <t>https://drive.google.com/file/d/1vNd8uG7qx2Ec8egl53Q5sGELSANgCfSa/view?usp=sharing</t>
  </si>
  <si>
    <t>HER-110-X ARCO DE SIERRA - FT</t>
  </si>
  <si>
    <t>JUEGO DE DESTORNILLADORES</t>
  </si>
  <si>
    <t>HER-135</t>
  </si>
  <si>
    <t>JUEGO DE ALICATES</t>
  </si>
  <si>
    <t>IRIMO</t>
  </si>
  <si>
    <t>601-3-C</t>
  </si>
  <si>
    <t>https://www.irimo.com/pe_es/juego-de-3-alicates-pb_601-3-c_.html</t>
  </si>
  <si>
    <t>HER-135-Y</t>
  </si>
  <si>
    <t>HER-135-Y JUEGO DE ALICATES - CET</t>
  </si>
  <si>
    <t>Material superior, indicar que cumple con normal ISO.</t>
  </si>
  <si>
    <t>HER-135-Y JUEGO DE ALICATES - FT</t>
  </si>
  <si>
    <t>HER-137</t>
  </si>
  <si>
    <t>JUEGO DE BROCAS DE PALETA</t>
  </si>
  <si>
    <t>HER-137 JUEGO DE BROCAS DE PALETA - CET</t>
  </si>
  <si>
    <t>https://drive.google.com/file/d/1-F5fpskdDW5kOYskhA1mQAHH7luw6zu1/view?usp=sharing</t>
  </si>
  <si>
    <t>HER-137 JUEGO DE BROCAS DE PALETA - FT</t>
  </si>
  <si>
    <t>HER-138</t>
  </si>
  <si>
    <t>JUEGO DE CEPILLOS</t>
  </si>
  <si>
    <t>HER-138 JUEGO DE CEPILLOS - CET</t>
  </si>
  <si>
    <t>STANLEY  / STANLEY / TRUPER</t>
  </si>
  <si>
    <t>‎1-12-004 / 1-12-005 / 12021</t>
  </si>
  <si>
    <r>
      <rPr>
        <u/>
        <sz val="10"/>
        <color rgb="FF1155CC"/>
        <rFont val="Roboto"/>
      </rPr>
      <t>https://www.amazon.es/Stanley-1-12-004-Cepillo-manual-4-50x245mm/dp/B0001GRVKU?th=1</t>
    </r>
    <r>
      <rPr>
        <u/>
        <sz val="10"/>
        <color rgb="FF0000FF"/>
        <rFont val="Roboto"/>
      </rPr>
      <t xml:space="preserve">
</t>
    </r>
    <r>
      <rPr>
        <u/>
        <sz val="10"/>
        <color rgb="FF1155CC"/>
        <rFont val="Roboto"/>
      </rPr>
      <t>https://www.amazon.es/Stanley-1-12-005-Cepillo-garlopin-5-50x335mm/dp/B0001IWDDI/ref=sr_1_2?__mk_es_ES=%C3%85M%C3%85%C5%BD%C3%95%C3%91&amp;crid=28LCCYV33QS9R&amp;dib=eyJ2IjoiMSJ9.l1DluArq5tg_ftNB8z3eZ8pZSYdzO780w4ldoveGHAMKBR-dzMxeLO7d9KPqx9yhzUpXOcdoL5WA1xNHCGK-_h3Z-QrWMV2JBk5vKuHiyFP--Yvh_XIuRb7G-B5m_mkYZff1iD0Ofn_l0ziOxt3PsyRJKGasqnTaY1LRSBwIg3Ii4sjRRePgilvkihI4tq4DCyuGkhZlqNTscmIJT0KdGaaersSh6p8LME81_vA8NZg.tmOSDFiZd_NVFzPBjJic6hdFgTXFwqKLJegxK0eEbr8&amp;dib_tag=se&amp;keywords=STANLEY+Cepillo+Manual+Bailey+de+Banco+N%C2%BA+5&amp;qid=1761574488&amp;s=tools&amp;sprefix=stanley+cepillo+manual+bailey+de+banco+n%C2%BA+%2Cdiy%2C405&amp;sr=1-2</t>
    </r>
    <r>
      <rPr>
        <u/>
        <sz val="10"/>
        <color rgb="FF0000FF"/>
        <rFont val="Roboto"/>
      </rPr>
      <t xml:space="preserve">
</t>
    </r>
    <r>
      <rPr>
        <u/>
        <sz val="10"/>
        <color rgb="FF1155CC"/>
        <rFont val="Roboto"/>
      </rPr>
      <t>https://www.truper.com/ficha_tecnica/Cepillos-de-carpintero-lisos.html?code=12018</t>
    </r>
  </si>
  <si>
    <t>HER-138 JUEGO DE CEPILLOS - FT</t>
  </si>
  <si>
    <t>HER-139</t>
  </si>
  <si>
    <t>JUEGO DE CUCHILLAS DE VUELTA DE BASE PLANA</t>
  </si>
  <si>
    <t>HER-139 JUEGO DE CUCHILLAS DE VUELTA DE BASE PLANA - CET</t>
  </si>
  <si>
    <t>1-12-0151 / 1-12-152</t>
  </si>
  <si>
    <r>
      <rPr>
        <u/>
        <sz val="10"/>
        <color rgb="FF1155CC"/>
        <rFont val="Corbel"/>
        <family val="2"/>
      </rPr>
      <t>https://www.stanleytools.com.au/product/1-12-151/stanley-spokeshave-151</t>
    </r>
    <r>
      <rPr>
        <sz val="10"/>
        <rFont val="Corbel"/>
        <family val="2"/>
      </rPr>
      <t xml:space="preserve"> 
</t>
    </r>
    <r>
      <rPr>
        <u/>
        <sz val="10"/>
        <color rgb="FF1155CC"/>
        <rFont val="Corbel"/>
        <family val="2"/>
      </rPr>
      <t>https://www.stanleytools.com.au/product/1-12-152/stanley-spokeshave-151r</t>
    </r>
    <r>
      <rPr>
        <sz val="10"/>
        <rFont val="Corbel"/>
        <family val="2"/>
      </rPr>
      <t xml:space="preserve"> </t>
    </r>
  </si>
  <si>
    <t>HER-139 JUEGO DE CUCHILLAS DE VUELTA DE BASE PLANA - FT</t>
  </si>
  <si>
    <t>HER-140</t>
  </si>
  <si>
    <t>HER-140-X</t>
  </si>
  <si>
    <t>HER-140-X JUEGO DE DESTORNILLADORES - CET</t>
  </si>
  <si>
    <t>Las dimensiones son mayores a lo solicitado sin embargo no afecta al proposito de la herramienta.</t>
  </si>
  <si>
    <t>Juego de destornilladores 6 PZAS 620-6</t>
  </si>
  <si>
    <t>https://cl.rsdelivers.com/product/bahco/620-6/juego-de-destornilladores-aislados-bahco-de-6-tipo/6880091</t>
  </si>
  <si>
    <t>HER-140-X JUEGO DE DESTORNILLADORES (6 DESTORNILLADORES) - FT</t>
  </si>
  <si>
    <t>HER-143</t>
  </si>
  <si>
    <t>JUEGO DE ESCOFINA</t>
  </si>
  <si>
    <t>HER-143 JUEGO DE ESCOFINA- CET</t>
  </si>
  <si>
    <t>Kamasa</t>
  </si>
  <si>
    <t>KM756</t>
  </si>
  <si>
    <t>https://www.mercadolibre.com.pe/juego-de-limas-escofinas-10-3pzs-goma-kamasa/p/MPE50680164</t>
  </si>
  <si>
    <t>HER-143 JUEGO DE ESCOFINA - FT</t>
  </si>
  <si>
    <t>HER-144</t>
  </si>
  <si>
    <t>JUEGO DE FORMONES</t>
  </si>
  <si>
    <t>HER-144 JUEGO DE FORMONES- CET</t>
  </si>
  <si>
    <t>425-082</t>
  </si>
  <si>
    <t>https://rodavigo.net/es/p/juego-de-formones-mango-madera-5-piezas-6-10-12-18-25-mm-ref-bahco-425-082/574425082</t>
  </si>
  <si>
    <t>HER-144 JUEGO DE FORMONES - FT</t>
  </si>
  <si>
    <t>HER-146</t>
  </si>
  <si>
    <t>JUEGO DE LLAVES ALLEN</t>
  </si>
  <si>
    <t>HER-146-A JUEGO DE LLAVES ALLEN - CET</t>
  </si>
  <si>
    <t>041101 / 041061</t>
  </si>
  <si>
    <t>https://cahema.pe/llaves-allen/16092-juego-de-15-llaves-allen-hexagonales-niquelada-041101-irimo.html</t>
  </si>
  <si>
    <t>HER-146-A JUEGO DE LLAVES ALLEN - FT</t>
  </si>
  <si>
    <t>HER-150</t>
  </si>
  <si>
    <t>HER-150-X</t>
  </si>
  <si>
    <t>JUEGO DE LLAVES MIXTAS</t>
  </si>
  <si>
    <t>HER-150-X JUEGO DE LLAVES MIXTAS - CET</t>
  </si>
  <si>
    <t>Stanley / SATA</t>
  </si>
  <si>
    <t>71-607 / ST09074SJ</t>
  </si>
  <si>
    <r>
      <rPr>
        <u/>
        <sz val="10"/>
        <color rgb="FF1155CC"/>
        <rFont val="Roboto"/>
      </rPr>
      <t>https://www.promart.pe/juego-de-llaves-combinadas-metricas-x12-piezas-96697/p?srsltid=AfmBOooHCane3IDVLNOL20k1t-k4ErDXoOaLi7RKrl5-vNwCfTCb6HOq</t>
    </r>
    <r>
      <rPr>
        <u/>
        <sz val="10"/>
        <color rgb="FF0000FF"/>
        <rFont val="Roboto"/>
      </rPr>
      <t xml:space="preserve"> 
https://store.ferrindustrial.com.pe/producto/juego-de-llaves-mixtas-de-1-4-11-4-x-16pzs-ro9115016-gedore/ </t>
    </r>
  </si>
  <si>
    <t>HER-150-X JUEGO DE LLAVES MIXTAS - FT</t>
  </si>
  <si>
    <t>HER-155</t>
  </si>
  <si>
    <t>JUEGO DE PRENSAS RAPIDAS</t>
  </si>
  <si>
    <t>HER-155 JUEGO DE PRENSAS RAPIDAS- CET</t>
  </si>
  <si>
    <t>100142 / 100143 / 100144</t>
  </si>
  <si>
    <t>https://www.truper.com/ficha_tecnica/Prensa-con-ajuste-rapido-uso-rudo.html?code=100142</t>
  </si>
  <si>
    <t>HER-155 JUEGO DE PRENSAS RAPIDAS - FT</t>
  </si>
  <si>
    <t>https://drive.google.com/file/d/1D-7DLEKSwhxF93Aeaub559itaLMt5F4e/view?usp=sharing</t>
  </si>
  <si>
    <t>HER-164</t>
  </si>
  <si>
    <t>LLAVE FRANCESA</t>
  </si>
  <si>
    <t>HER-164 LLAVE FRANCESA- CET</t>
  </si>
  <si>
    <t>HER-164 LLAVE FRANCESA - FT</t>
  </si>
  <si>
    <t>HER-169</t>
  </si>
  <si>
    <t>MARTILLO DE UÑA</t>
  </si>
  <si>
    <t>HER-169 MARTILLO DE UÑA- CET</t>
  </si>
  <si>
    <t>Martillo con mango de madera 20 onzas</t>
  </si>
  <si>
    <t>HER-169 MARTILLO DE UÑA - FT</t>
  </si>
  <si>
    <t>HER-175</t>
  </si>
  <si>
    <t>HER-175-X</t>
  </si>
  <si>
    <t>MAZO DE GOMA</t>
  </si>
  <si>
    <t>HER-175-X MAZO DE GOMA - CET</t>
  </si>
  <si>
    <t xml:space="preserve">Mateial sintético transmite más vibración y pueden dañar superficies delicadas. </t>
  </si>
  <si>
    <t>RUSTARK</t>
  </si>
  <si>
    <t>Juego de martillo de goma y plástico de doble cara de 0.984 in y 1.378 in</t>
  </si>
  <si>
    <t>https://www.amazon.com/-/es/Rustark-martillo-pl%C3%A1stico-peque%C3%B1o-cabezales/dp/B0C23L86CN/ref=sr_1_67?__mk_es_US=%C3%85M%C3%85%C5%BD%C3%95%C3%91&amp;crid=1S37NWYI4TCE5&amp;dib=eyJ2IjoiMSJ9.tUuT6jSNpjd6bCzOAz0VixLOrUlF1QUjSCIDT-axL4sgLMGybYROJulmOWKMl9YYGA1_lIZstz84eJNQcjN8asa7IwTG219LV5fbs1a85dhJW6-tsGB2KEH-AugSrfnKF3cviPiJcSKaml82VA71WkcHeZkBKQLN422RWBIGAeyoAeFDqnlJFz02clXXviSoCuZXECf4RtOqZmvpl76vZGxUL5Cu_LcPJxh45fE6VxpgrSQIHgxorotPKF4KSqapMgSjW-QqPSUzUhPsEhd_91qFLLOfL2FV7zzO8-XFSqM.Z7kM0VbVljxsvUrPw6HC9kC7dNy3BNcxy4FIAwW68eg&amp;dib_tag=se&amp;keywords=mazo+de+goma+Nylon&amp;qid=1769637837&amp;sprefix=mazo+de+goma+nylon%2Caps%2C199&amp;sr=8-67&amp;xpid=Pu4oOv1RO1CXK</t>
  </si>
  <si>
    <t>HER-175-X MAZO DE GOMA - FT</t>
  </si>
  <si>
    <t>HER-184</t>
  </si>
  <si>
    <t>PRENSA C</t>
  </si>
  <si>
    <t>HER-184 PRENSA C - CET</t>
  </si>
  <si>
    <t>PTF-4</t>
  </si>
  <si>
    <t>https://www.truper.com/ficha_tecnica/Prensas-forjadas-en-acero-uso-industrial.html?code=17655</t>
  </si>
  <si>
    <t>HER-184 PRENSA C-FT</t>
  </si>
  <si>
    <t>HER-188</t>
  </si>
  <si>
    <t>SARGENTAS DE 120 CM</t>
  </si>
  <si>
    <t>HER-188 SARGENTAS DE 120 CM - CET</t>
  </si>
  <si>
    <t>Se solicita mecanismo de traba para fijar la base del tornillo, pero las sargentas tienen mordazas antideslizante por defecto. COMEX evaluando entre dos opciones por precio.</t>
  </si>
  <si>
    <t>BESSEY</t>
  </si>
  <si>
    <t>TG7.048+2K</t>
  </si>
  <si>
    <t>https://wurthlac.com/product/150126/48-Medium-Duty-Bar-Clamp-with-Wood-Handle-7-Throat-Depth</t>
  </si>
  <si>
    <t>HER-188 SARGENTAS DE 120 CM-FT</t>
  </si>
  <si>
    <t>HER-189</t>
  </si>
  <si>
    <t>SERRUCHO DE COSTILLA</t>
  </si>
  <si>
    <t>HER-189 SERRUCHO DE COSTILLA - CET</t>
  </si>
  <si>
    <t xml:space="preserve">STCX-12 </t>
  </si>
  <si>
    <t>https://www.aibitech.com/herramientas-de-carpinteria/serruchos/serrucho-diamante-de-costilla-12-espesor-08mm-dpp9-en-acero-alto-carbono-templado-stcx-12-18165-truper-10814.html?srsltid=AfmBOorhCkbWB6VZ2U_S75ymKSs5FzOxa2Chqzw1JE8zl2j9ni4XWbWL</t>
  </si>
  <si>
    <t>HER-189 SERRUCHO DE COSTILLA - FT</t>
  </si>
  <si>
    <t>MAT-123</t>
  </si>
  <si>
    <t>MAT-123-X</t>
  </si>
  <si>
    <t>BOTIQUIN 30 X 25 X 10 CM</t>
  </si>
  <si>
    <t>MAT-123 BOTIQUÍN-X - CET</t>
  </si>
  <si>
    <t>HUGO</t>
  </si>
  <si>
    <t>MAT-123-X BOTIQUIN 30 X 25 X 10 CM - FT</t>
  </si>
  <si>
    <t>MAT-127</t>
  </si>
  <si>
    <t>JUEGO DE BROCHAS CARPINTERIA</t>
  </si>
  <si>
    <t>MAT-127 JUEGO DE BROCHAS CARPINTERIA - CET</t>
  </si>
  <si>
    <t>TUMI</t>
  </si>
  <si>
    <t>Brocha TUMI Multiuso 1'', 2", 4", 5"</t>
  </si>
  <si>
    <r>
      <rPr>
        <u/>
        <sz val="10"/>
        <color rgb="FF0000FF"/>
        <rFont val="Roboto"/>
      </rPr>
      <t xml:space="preserve">https://sodimac.falabella.com.pe/sodimac-pe/product/113316148/Brocha-TUMI-Multiuso-1%27%27/113316153?exp=sodimac
https://sodimac.falabella.com.pe/sodimac-pe/product/113321144/Brocha-TUMI-Multiuso-2%27%27/113321145?exp=sodimac
https://sodimac.falabella.com.pe/sodimac-pe/product/113309957/Brocha-TUMI-Multiuso-4%27%27/113309958?exp=sodimac
</t>
    </r>
    <r>
      <rPr>
        <u/>
        <sz val="10"/>
        <color rgb="FF1155CC"/>
        <rFont val="Roboto"/>
      </rPr>
      <t>https://sodimac.falabella.com.pe/sodimac-pe/product/113326372/Brocha-TUMI-Multiuso-5%27%27/113326374?exp=sodimac</t>
    </r>
  </si>
  <si>
    <t>MAT-127 JUEGO DE BROCHAS CARPINTERIA - FT</t>
  </si>
  <si>
    <t>MAT-129</t>
  </si>
  <si>
    <t>CARETA FACIAL</t>
  </si>
  <si>
    <t>MAT-129 CARETA FACIAL - CET</t>
  </si>
  <si>
    <t>Steelpro</t>
  </si>
  <si>
    <t>https://segurimax.com.pe/product/careta-de-proteccion-facial/</t>
  </si>
  <si>
    <t>MAT-129 CARETA FACIAL-FT</t>
  </si>
  <si>
    <t>MAT-147</t>
  </si>
  <si>
    <t>MAT-147-X</t>
  </si>
  <si>
    <t>CÚTER</t>
  </si>
  <si>
    <t>MAT-147-X CÚTER - CET</t>
  </si>
  <si>
    <t>No se menciona, pero se asume una medida aproximada.</t>
  </si>
  <si>
    <t>Medid</t>
  </si>
  <si>
    <t>Cutter MEDID recarga automática 18 mm 5 cuchillas</t>
  </si>
  <si>
    <t>https://medid.datoproducto.com/producto/1080622/1015362/cutter-medid-recarga-automatica-18-mm-5-cuchillas</t>
  </si>
  <si>
    <t>MAT-147-X CÚTER - FT</t>
  </si>
  <si>
    <t>MAT-161</t>
  </si>
  <si>
    <t>EXTINTOR CO2</t>
  </si>
  <si>
    <t>MAT-161 EXTINTOR CO2 - CET</t>
  </si>
  <si>
    <t>BADGER</t>
  </si>
  <si>
    <t>05 HB</t>
  </si>
  <si>
    <t>MAT-161 EXTINTOR CO2 - FT</t>
  </si>
  <si>
    <t>MAT-163</t>
  </si>
  <si>
    <t>MAT-163-X</t>
  </si>
  <si>
    <t>EXTINTOR PQS</t>
  </si>
  <si>
    <t>MAT-163-X EXTINTOR PQS - CET</t>
  </si>
  <si>
    <t>Se necesitará realizar el proceso de etiquetado de los extintores</t>
  </si>
  <si>
    <t>AMEREX</t>
  </si>
  <si>
    <t>B402T</t>
  </si>
  <si>
    <t>MAT-163-X EXTINTOR PQS - FT</t>
  </si>
  <si>
    <t>MAT-171</t>
  </si>
  <si>
    <t>PAR DE GUANTES DE CUERO</t>
  </si>
  <si>
    <t>MAT-171 PAR DE GUANTES DE CUERO - CET</t>
  </si>
  <si>
    <t>NIKO</t>
  </si>
  <si>
    <t>TIPO N</t>
  </si>
  <si>
    <t>https://niko.pe/producto/guantes-de-cuero-cromo-reforzado/?srsltid=AfmBOopRHbyt8ajM5zWlaLSf6quYZp83W0NSU6cej72cUVg9noqcYjtW</t>
  </si>
  <si>
    <t>MAT-171 PAR DE GUANTES DE CUERO - FT</t>
  </si>
  <si>
    <t>MAT-179</t>
  </si>
  <si>
    <t>PAR DE GUANTES PARA PINTAR</t>
  </si>
  <si>
    <t>MAT-179 PAR DE GUANTES PARA PINTAR - CET</t>
  </si>
  <si>
    <t>Werken</t>
  </si>
  <si>
    <t>MAT-179 PAR DE GUANTES PARA PINTAR-FT</t>
  </si>
  <si>
    <t>MAT-181</t>
  </si>
  <si>
    <t>MAT-181-X</t>
  </si>
  <si>
    <t>GUARDAPOLVO</t>
  </si>
  <si>
    <t>MAT-181-X GUARDAPOLVO - CET</t>
  </si>
  <si>
    <t>El material no afecta el uso del producto</t>
  </si>
  <si>
    <t>Monza</t>
  </si>
  <si>
    <t>Ref:0021</t>
  </si>
  <si>
    <t>https://casadelasbatas.com/batas-industria/52174-93549-bata-guardapolvo-industrial-confort-fit-monza.html?_gl=1*6awugg*_up*MQ..*_ga*MzQzNDk3ODY0LjE3NTk3ODkwNzc.*_ga_HQFNFVNCSB*czE3NTk3ODkwNzYkbzEkZzEkdDE3NTk3ODkxMDgkajI4JGwwJGgw#/27-color-azul_marino/910-talla-2</t>
  </si>
  <si>
    <t>MAT-181-X GUARDAPOLVO - FT</t>
  </si>
  <si>
    <t>MAT-214</t>
  </si>
  <si>
    <t>JUEGO DE REGLAS METÁLICAS DE 30 CM, 60 CM Y 100 CM</t>
  </si>
  <si>
    <t>MAT-214 JUEGO DE REGLAS METÁLICAS DE 30 CM, 60 CM Y 100 CM - CET</t>
  </si>
  <si>
    <t>ACCUD</t>
  </si>
  <si>
    <t>990-012-11
990-024-11H
990-040-11</t>
  </si>
  <si>
    <t>https://www.accud.com/es/steel-rule-product/
https://www.accud.com/es/steel-rule-2-product/
https://suministrosenmetrologia.com/productos/medidores-de-dimensiones/regla-de-1-metro-o-40-accud/</t>
  </si>
  <si>
    <t>MAT-214 JUEGO DE REGLAS METÁLICAS DE 30 CM, 60 CM Y 100 CM - FT</t>
  </si>
  <si>
    <t>MAT-228</t>
  </si>
  <si>
    <t>KIT RESPIRADOR</t>
  </si>
  <si>
    <t>MAT-228 KIT RESPIRADOR - CET</t>
  </si>
  <si>
    <t>3M</t>
  </si>
  <si>
    <t>6200 M</t>
  </si>
  <si>
    <t>https://www.promart.pe/respirador-media-cara-2-vias-con-filtros-p-vapores-gases-y-particulas-3m/p?gad_source=1&amp;gad_campaignid=22581639037&amp;gbraid=0AAAAADJIfALAcyjroPZU3sM9DjCIzWgVV&amp;gclid=CjwKC...</t>
  </si>
  <si>
    <t>MAT-228 KIT RESPIRADOR - FT</t>
  </si>
  <si>
    <t>MAT-230</t>
  </si>
  <si>
    <t>LENTES DE PROTECCIÓN DE PLÁSTICO</t>
  </si>
  <si>
    <t>MAT-230 LENTES DE PROTECCIÓN DE PLÁSTICO - CET</t>
  </si>
  <si>
    <t>https://www.truper.com/ficha_tecnica/Goggles-de-seguridad-con-valvulas-de-ventilacion-indirecta-4850.html?code=14220</t>
  </si>
  <si>
    <t>MAT-230 LENTES DE PROTECCIÓN DE PLÁSTICO - FT</t>
  </si>
  <si>
    <t>MAT-231</t>
  </si>
  <si>
    <t>MAT-231-X</t>
  </si>
  <si>
    <t>LENTES DE PROTECCIÓN DE POLICARBONATO</t>
  </si>
  <si>
    <t>MAT-231-X LENTES DE PROTECCIÓN DE POLICARBONATO - CET</t>
  </si>
  <si>
    <t>Nitro</t>
  </si>
  <si>
    <t>MAT-231-X LENTES DE PROTECCIÓN DE POLICARBONATO - FT</t>
  </si>
  <si>
    <t>MAT-233</t>
  </si>
  <si>
    <t>MAMELUCO DE PROTECCIÓN PARA PINTOR</t>
  </si>
  <si>
    <t>MAT-233 MAMELUCO DE PROTECCIÓN PARA PINTOR- CET</t>
  </si>
  <si>
    <t xml:space="preserve">TRAJE 4510 </t>
  </si>
  <si>
    <t>https://www.3m.com.pe/3M/es_PE/p/d/b00046819/</t>
  </si>
  <si>
    <t>MAT-233 MAMELUCO DE PROTECCIÓN PARA PINTOR-FT</t>
  </si>
  <si>
    <t>MAT-398</t>
  </si>
  <si>
    <t>OREJERAS</t>
  </si>
  <si>
    <t>MAT-398 OREJERAS - CET</t>
  </si>
  <si>
    <t>TR Industrial</t>
  </si>
  <si>
    <t>TR88014</t>
  </si>
  <si>
    <t>https://www.amazon.com/-/es/Orejeras-seguridad-industrial-cumplen-normas/dp/B00PUX97U6?th=1</t>
  </si>
  <si>
    <t>MAT-398 OREJERAS - FT</t>
  </si>
  <si>
    <t>TIC</t>
  </si>
  <si>
    <t>TEC-102</t>
  </si>
  <si>
    <t>TEC-102-X</t>
  </si>
  <si>
    <t>CÁMARA DE VIDEO CON TRÍPODE</t>
  </si>
  <si>
    <t>TEC-102-X CÁMARA DE VIDEO CON TRÍPODE - CET</t>
  </si>
  <si>
    <t>CANON</t>
  </si>
  <si>
    <t>LEGRIA HF-G70</t>
  </si>
  <si>
    <t>https://www.canon.es/video-cameras/legria-hf-g70/specifications/</t>
  </si>
  <si>
    <t>TEC-102-X CÁMARA DE VIDEO CON TRÍPODE - FT.pdf</t>
  </si>
  <si>
    <t>TEC-103</t>
  </si>
  <si>
    <t>CÁMARA FOTOGRÁFICA</t>
  </si>
  <si>
    <t>TEC-103 CÁMARA FOTOGRÁFICA - CET</t>
  </si>
  <si>
    <t>No cuenta con memoria interna.</t>
  </si>
  <si>
    <t>EOS R100</t>
  </si>
  <si>
    <t>https://cam.start.canon/en/C006/manual/html/UG-05_Shooting-2_0070.html?utm_source=chatgpt.com</t>
  </si>
  <si>
    <t>TEC-103 CÁMARA FOTOGRÁFICA - FT.pdf</t>
  </si>
  <si>
    <t>TEC-104</t>
  </si>
  <si>
    <t>COMPUTADORA DE ESCRITORIO</t>
  </si>
  <si>
    <t>TEC-104 COMPUTADORA DE ESCRITORIO - CET</t>
  </si>
  <si>
    <t>TEC-107</t>
  </si>
  <si>
    <t>TEC-107-X</t>
  </si>
  <si>
    <t>EQUIPO DE GRABACIÓN PARA REPORTERO</t>
  </si>
  <si>
    <t>TEC-107-X EQUIPO DE GRABACIÓN PARA REPORTERO - CET</t>
  </si>
  <si>
    <t>SONY</t>
  </si>
  <si>
    <t>ICD-UX570</t>
  </si>
  <si>
    <r>
      <rPr>
        <u/>
        <sz val="10"/>
        <color rgb="FF0000FF"/>
        <rFont val="Roboto"/>
      </rPr>
      <t xml:space="preserve">https://www.sony.com.pe/electronics/grabadores-voz/icd-ux570-series
</t>
    </r>
    <r>
      <rPr>
        <u/>
        <sz val="10"/>
        <color rgb="FF1155CC"/>
        <rFont val="Roboto"/>
      </rPr>
      <t>https://helpguide.sony.net/icd/u57/v1/es/contents/TP0002427335.html</t>
    </r>
  </si>
  <si>
    <t>TEC-107-X EQUIPO DE GRABACIÓN PARA REPORTERO - FT</t>
  </si>
  <si>
    <t>TEC-108</t>
  </si>
  <si>
    <t>EQUIPO DE SONIDO</t>
  </si>
  <si>
    <t>TEC-108 EQUIPO DE SONIDO - CET</t>
  </si>
  <si>
    <t>HALION</t>
  </si>
  <si>
    <t>SMART HA-G62</t>
  </si>
  <si>
    <t>https://drive.google.com/file/d/1AwHGFgXhnn7iUkrkvPPtKC16_D8m6l6X/view?usp=drive_link</t>
  </si>
  <si>
    <t>TEC-111</t>
  </si>
  <si>
    <t>TEC-111-X</t>
  </si>
  <si>
    <t>IMPRESORA MULTIFUNCIONAL</t>
  </si>
  <si>
    <t>TEC-111-X IMPRESORA MULTIFUNCIONAL - CET</t>
  </si>
  <si>
    <t>L15150 A3</t>
  </si>
  <si>
    <t>TEC-114</t>
  </si>
  <si>
    <t>PIZARRA (PANTALLA) TÁCTIL INTERACTIVA MULTI-TOUCH</t>
  </si>
  <si>
    <t>TEC-114 PIZARRA (PANTALLA) TÁCTIL INTERACTIVA MULTI-TOUCH - CET</t>
  </si>
  <si>
    <t>Supera en puertos, conectividad y puntos de toque.</t>
  </si>
  <si>
    <t>VIEWSONIC</t>
  </si>
  <si>
    <t>IFP7550 GEN 5 75”</t>
  </si>
  <si>
    <t>TEC-117</t>
  </si>
  <si>
    <t>TABLET</t>
  </si>
  <si>
    <t>TEC-117 TABLET - CET</t>
  </si>
  <si>
    <t>LENOVO</t>
  </si>
  <si>
    <t>TAB 11 ZAEJ0105PE</t>
  </si>
  <si>
    <t>https://inquirecontent2.ingrammicro.com/Manufacturer-Brochure/1086740376.pdf</t>
  </si>
  <si>
    <t>COM-229</t>
  </si>
  <si>
    <t>MESA GUÍA PARA SIERRA CALADORA</t>
  </si>
  <si>
    <t>COM-229 MESA GUIA PARA SIERRA CALADORA - CET</t>
  </si>
  <si>
    <t>WOLFCRAFT</t>
  </si>
  <si>
    <t>https://www.wolfcraft-prod.de/products/wolfcraft/es/EUR/Productos/Cabezales-para-m%C3%A1quinas/Mesas-para-sierras-de-calar/Mesa-para-sierra-de-calar/p/P_6197</t>
  </si>
  <si>
    <t>COM-299 MESA GUÍA PARA SIERRA CALADORA -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</si>
</sst>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b/>
      <sz val="17"/>
      <color theme="1"/>
      <name val="Roboto"/>
    </font>
    <font>
      <b/>
      <sz val="17"/>
      <color rgb="FF000000"/>
      <name val="Roboto"/>
    </font>
    <font>
      <b/>
      <sz val="17"/>
      <color rgb="FFFFFFFF"/>
      <name val="Roboto"/>
    </font>
    <font>
      <b/>
      <u/>
      <sz val="10"/>
      <color rgb="FF000000"/>
      <name val="Roboto"/>
    </font>
    <font>
      <b/>
      <sz val="10"/>
      <color theme="1"/>
      <name val="Roboto"/>
    </font>
    <font>
      <b/>
      <u/>
      <sz val="10"/>
      <color theme="1"/>
      <name val="Roboto"/>
    </font>
    <font>
      <b/>
      <sz val="10"/>
      <color theme="1"/>
      <name val="Arial"/>
      <family val="2"/>
      <scheme val="minor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b/>
      <u/>
      <sz val="10"/>
      <color theme="1"/>
      <name val="Roboto"/>
    </font>
    <font>
      <sz val="10"/>
      <name val="Arial"/>
      <family val="2"/>
    </font>
    <font>
      <b/>
      <sz val="10"/>
      <color rgb="FFFFFFFF"/>
      <name val="Roboto"/>
    </font>
    <font>
      <b/>
      <sz val="8"/>
      <color rgb="FF000000"/>
      <name val="Roboto"/>
    </font>
    <font>
      <b/>
      <sz val="10"/>
      <color rgb="FF000000"/>
      <name val="Roboto"/>
    </font>
    <font>
      <sz val="10"/>
      <color theme="1"/>
      <name val="Roboto"/>
    </font>
    <font>
      <b/>
      <i/>
      <sz val="10"/>
      <color rgb="FFFF0000"/>
      <name val="Roboto"/>
    </font>
    <font>
      <b/>
      <sz val="10"/>
      <color theme="1"/>
      <name val="Roboto"/>
    </font>
    <font>
      <b/>
      <u/>
      <sz val="10"/>
      <color rgb="FF000000"/>
      <name val="Roboto"/>
    </font>
    <font>
      <u/>
      <sz val="10"/>
      <color theme="1"/>
      <name val="Roboto"/>
    </font>
    <font>
      <u/>
      <sz val="10"/>
      <color rgb="FF0000FF"/>
      <name val="Roboto"/>
    </font>
    <font>
      <b/>
      <sz val="13"/>
      <color theme="1"/>
      <name val="Roboto"/>
    </font>
    <font>
      <u/>
      <sz val="10"/>
      <color theme="1"/>
      <name val="Roboto"/>
    </font>
    <font>
      <u/>
      <sz val="10"/>
      <color rgb="FF000000"/>
      <name val="Roboto"/>
    </font>
    <font>
      <u/>
      <sz val="10"/>
      <color theme="1"/>
      <name val="Roboto"/>
    </font>
    <font>
      <u/>
      <sz val="10"/>
      <color theme="1"/>
      <name val="Arial"/>
      <family val="2"/>
      <scheme val="minor"/>
    </font>
    <font>
      <u/>
      <sz val="10"/>
      <color rgb="FF0000FF"/>
      <name val="Corbel"/>
      <family val="2"/>
    </font>
    <font>
      <u/>
      <sz val="10"/>
      <color rgb="FF0000FF"/>
      <name val="Roboto"/>
    </font>
    <font>
      <u/>
      <sz val="10"/>
      <color rgb="FF0000FF"/>
      <name val="Corbel"/>
      <family val="2"/>
    </font>
    <font>
      <u/>
      <sz val="10"/>
      <color rgb="FF0000FF"/>
      <name val="Corbel"/>
      <family val="2"/>
    </font>
    <font>
      <u/>
      <sz val="10"/>
      <color theme="1"/>
      <name val="Arial"/>
      <family val="2"/>
      <scheme val="minor"/>
    </font>
    <font>
      <u/>
      <sz val="10"/>
      <color theme="1"/>
      <name val="Roboto"/>
    </font>
    <font>
      <u/>
      <sz val="10"/>
      <color rgb="FF0000FF"/>
      <name val="Corbel"/>
      <family val="2"/>
    </font>
    <font>
      <u/>
      <sz val="10"/>
      <color theme="1"/>
      <name val="Arial"/>
      <family val="2"/>
      <scheme val="minor"/>
    </font>
    <font>
      <u/>
      <sz val="10"/>
      <color theme="1"/>
      <name val="Roboto"/>
    </font>
    <font>
      <u/>
      <sz val="10"/>
      <color rgb="FF0000FF"/>
      <name val="Roboto"/>
    </font>
    <font>
      <u/>
      <sz val="10"/>
      <color theme="1"/>
      <name val="Roboto"/>
    </font>
    <font>
      <u/>
      <sz val="10"/>
      <color rgb="FF0000FF"/>
      <name val="Arial"/>
      <family val="2"/>
    </font>
    <font>
      <u/>
      <sz val="10"/>
      <color rgb="FF0000FF"/>
      <name val="Roboto"/>
    </font>
    <font>
      <u/>
      <sz val="10"/>
      <color rgb="FF1155CC"/>
      <name val="Roboto"/>
    </font>
    <font>
      <u/>
      <sz val="10"/>
      <color rgb="FF1155CC"/>
      <name val="Corbel"/>
      <family val="2"/>
    </font>
    <font>
      <sz val="10"/>
      <name val="Corbel"/>
      <family val="2"/>
    </font>
    <font>
      <sz val="10"/>
      <color rgb="FF000000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E98BC"/>
        <bgColor rgb="FFDE98BC"/>
      </patternFill>
    </fill>
    <fill>
      <patternFill patternType="solid">
        <fgColor rgb="FFFFE8E8"/>
        <bgColor rgb="FFFFE8E8"/>
      </patternFill>
    </fill>
    <fill>
      <patternFill patternType="solid">
        <fgColor rgb="FFC4DE98"/>
        <bgColor rgb="FFC4DE98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FFE599"/>
        <bgColor rgb="FFFFE599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4CCCC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81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6" fillId="9" borderId="1" xfId="0" applyFont="1" applyFill="1" applyBorder="1" applyAlignment="1">
      <alignment horizontal="left" vertical="center"/>
    </xf>
    <xf numFmtId="0" fontId="27" fillId="9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28" fillId="9" borderId="1" xfId="0" applyFont="1" applyFill="1" applyBorder="1" applyAlignment="1">
      <alignment vertical="center" wrapText="1"/>
    </xf>
    <xf numFmtId="0" fontId="5" fillId="11" borderId="0" xfId="0" applyFont="1" applyFill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left" vertical="center" wrapText="1"/>
    </xf>
    <xf numFmtId="0" fontId="33" fillId="0" borderId="1" xfId="0" applyFont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 wrapText="1"/>
    </xf>
    <xf numFmtId="0" fontId="34" fillId="9" borderId="1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left" vertical="center"/>
    </xf>
    <xf numFmtId="0" fontId="15" fillId="0" borderId="3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5" fillId="10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37" fillId="9" borderId="1" xfId="0" applyFont="1" applyFill="1" applyBorder="1" applyAlignment="1">
      <alignment vertical="center"/>
    </xf>
    <xf numFmtId="0" fontId="38" fillId="9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/>
    </xf>
    <xf numFmtId="0" fontId="11" fillId="0" borderId="3" xfId="0" applyFont="1" applyBorder="1"/>
    <xf numFmtId="0" fontId="14" fillId="4" borderId="2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11" fillId="0" borderId="5" xfId="0" applyFont="1" applyBorder="1"/>
    <xf numFmtId="0" fontId="14" fillId="6" borderId="6" xfId="0" applyFont="1" applyFill="1" applyBorder="1" applyAlignment="1">
      <alignment horizontal="center" vertical="center" wrapText="1"/>
    </xf>
    <xf numFmtId="0" fontId="11" fillId="0" borderId="6" xfId="0" applyFont="1" applyBorder="1"/>
    <xf numFmtId="0" fontId="11" fillId="0" borderId="7" xfId="0" applyFont="1" applyBorder="1"/>
    <xf numFmtId="0" fontId="17" fillId="7" borderId="8" xfId="0" applyFont="1" applyFill="1" applyBorder="1" applyAlignment="1">
      <alignment horizontal="center" wrapText="1"/>
    </xf>
  </cellXfs>
  <cellStyles count="1">
    <cellStyle name="Normal" xfId="0" builtinId="0"/>
  </cellStyles>
  <dxfs count="10">
    <dxf>
      <fill>
        <patternFill patternType="solid">
          <fgColor rgb="FFF1D232"/>
          <bgColor rgb="FFF1D232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E8A4EB"/>
          <bgColor rgb="FFE8A4EB"/>
        </patternFill>
      </fill>
    </dxf>
    <dxf>
      <fill>
        <patternFill patternType="solid">
          <fgColor rgb="FF4285F4"/>
          <bgColor rgb="FF4285F4"/>
        </patternFill>
      </fill>
    </dxf>
    <dxf>
      <fill>
        <patternFill patternType="solid">
          <fgColor rgb="FF46BDC6"/>
          <bgColor rgb="FF46BDC6"/>
        </patternFill>
      </fill>
    </dxf>
    <dxf>
      <fill>
        <patternFill patternType="solid">
          <fgColor rgb="FFC8DA86"/>
          <bgColor rgb="FFC8DA8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mazon.com/DOITOOL-Magnetic-Extension-Compatible-Professional/dp/B0F4PZ6YGV?utm_source=chatgpt.com&amp;th=1" TargetMode="External"/><Relationship Id="rId299" Type="http://schemas.openxmlformats.org/officeDocument/2006/relationships/hyperlink" Target="https://drive.google.com/file/d/1D-7DLEKSwhxF93Aeaub559itaLMt5F4e/view?usp=sharing" TargetMode="External"/><Relationship Id="rId21" Type="http://schemas.openxmlformats.org/officeDocument/2006/relationships/hyperlink" Target="https://drive.google.com/file/d/1WwLY1lQi2XiSE0OtUotd4iudcZnmUB5t/view?usp=sharing" TargetMode="External"/><Relationship Id="rId63" Type="http://schemas.openxmlformats.org/officeDocument/2006/relationships/hyperlink" Target="https://docs.google.com/spreadsheets/d/1bsVuwrwH0vk3kdYVOKSlRAmKIYMltZSZQlF70F2aOow/edit?usp=sharing" TargetMode="External"/><Relationship Id="rId159" Type="http://schemas.openxmlformats.org/officeDocument/2006/relationships/hyperlink" Target="https://docs.google.com/spreadsheets/d/1K8ghR4_erb8Vm94F_h3dMHWRImHaLBbrmRtTs-4vVI4/edit?gid=0" TargetMode="External"/><Relationship Id="rId324" Type="http://schemas.openxmlformats.org/officeDocument/2006/relationships/hyperlink" Target="https://docs.google.com/spreadsheets/d/1YfH_hAh0gYM-DeYHx4oLIt14zvOkmCxxbrKZmSEu_5k/edit?gid=0" TargetMode="External"/><Relationship Id="rId366" Type="http://schemas.openxmlformats.org/officeDocument/2006/relationships/hyperlink" Target="https://drive.google.com/file/d/1WwLY1lQi2XiSE0OtUotd4iudcZnmUB5t/view?usp=sharing" TargetMode="External"/><Relationship Id="rId170" Type="http://schemas.openxmlformats.org/officeDocument/2006/relationships/hyperlink" Target="https://drive.google.com/file/d/1WwLY1lQi2XiSE0OtUotd4iudcZnmUB5t/view?usp=sharing" TargetMode="External"/><Relationship Id="rId226" Type="http://schemas.openxmlformats.org/officeDocument/2006/relationships/hyperlink" Target="https://docs.google.com/spreadsheets/d/1YdmYVAOn23HN6oaV5By5mjkkaT0vcS-sHFtUcCks6w4/edit?gid=0" TargetMode="External"/><Relationship Id="rId268" Type="http://schemas.openxmlformats.org/officeDocument/2006/relationships/hyperlink" Target="https://www.amazon.es/Stanley-1-12-004-Cepillo-manual-4-50x245mm/dp/B0001GRVKU?th=1" TargetMode="External"/><Relationship Id="rId32" Type="http://schemas.openxmlformats.org/officeDocument/2006/relationships/hyperlink" Target="https://drive.google.com/drive/folders/1JCcIjZjOFFfA512v96AO3CEv8ScZmSFp?usp=drive_link" TargetMode="External"/><Relationship Id="rId74" Type="http://schemas.openxmlformats.org/officeDocument/2006/relationships/hyperlink" Target="https://drive.google.com/file/d/1WwLY1lQi2XiSE0OtUotd4iudcZnmUB5t/view?usp=sharing" TargetMode="External"/><Relationship Id="rId128" Type="http://schemas.openxmlformats.org/officeDocument/2006/relationships/hyperlink" Target="https://docs.google.com/spreadsheets/d/1vtJaaPckVEi5vZf5bxRSxYAhs8CeYvQhOa5z4miKsv4/edit?gid=0" TargetMode="External"/><Relationship Id="rId335" Type="http://schemas.openxmlformats.org/officeDocument/2006/relationships/hyperlink" Target="https://drive.google.com/file/d/1WwLY1lQi2XiSE0OtUotd4iudcZnmUB5t/view?usp=sharing" TargetMode="External"/><Relationship Id="rId377" Type="http://schemas.openxmlformats.org/officeDocument/2006/relationships/hyperlink" Target="https://drive.google.com/file/d/1_UHuH37ATrm911Ohx4aL_9Z3m--yiXpV/view?usp=sharing" TargetMode="External"/><Relationship Id="rId5" Type="http://schemas.openxmlformats.org/officeDocument/2006/relationships/hyperlink" Target="https://drive.google.com/drive/folders/1_ZBxF1b4Xhzrzfa2jIjhloAZin5JJKW6" TargetMode="External"/><Relationship Id="rId181" Type="http://schemas.openxmlformats.org/officeDocument/2006/relationships/hyperlink" Target="https://drive.google.com/open?id=1Mc25ARgUVJR6Ow7rFZmCKS6vG2-7iDWy&amp;usp=drive_copy" TargetMode="External"/><Relationship Id="rId237" Type="http://schemas.openxmlformats.org/officeDocument/2006/relationships/hyperlink" Target="https://docs.google.com/spreadsheets/d/1SrsPpYmw8V6Z0s_QMC5XJ55D7XAPNWqdaaDlSbEudWY/edit?gid=0" TargetMode="External"/><Relationship Id="rId402" Type="http://schemas.openxmlformats.org/officeDocument/2006/relationships/vmlDrawing" Target="../drawings/vmlDrawing1.vml"/><Relationship Id="rId279" Type="http://schemas.openxmlformats.org/officeDocument/2006/relationships/hyperlink" Target="https://docs.google.com/spreadsheets/d/1YQv879C9GxcfsGrH3A16aQ4ZMqdZ0HK2usek_ZQyQ7U/edit?gid=0" TargetMode="External"/><Relationship Id="rId43" Type="http://schemas.openxmlformats.org/officeDocument/2006/relationships/hyperlink" Target="https://www.makita.es/product/bo3711.html" TargetMode="External"/><Relationship Id="rId139" Type="http://schemas.openxmlformats.org/officeDocument/2006/relationships/hyperlink" Target="https://drive.google.com/file/d/1WwLY1lQi2XiSE0OtUotd4iudcZnmUB5t/view?usp=sharing" TargetMode="External"/><Relationship Id="rId290" Type="http://schemas.openxmlformats.org/officeDocument/2006/relationships/hyperlink" Target="https://docs.google.com/spreadsheets/d/1RCj5CJ5pfOulqfqtvVTxVgjpv42mesTV2WF6AByvgXg/edit?gid=0" TargetMode="External"/><Relationship Id="rId304" Type="http://schemas.openxmlformats.org/officeDocument/2006/relationships/hyperlink" Target="https://drive.google.com/file/d/1WwLY1lQi2XiSE0OtUotd4iudcZnmUB5t/view?usp=sharing" TargetMode="External"/><Relationship Id="rId346" Type="http://schemas.openxmlformats.org/officeDocument/2006/relationships/hyperlink" Target="https://docs.google.com/spreadsheets/d/1zaf4-mCWoTK_yuAbFFTAMXiWXEWCzyhe90hFriNMm4E/edit?gid=0" TargetMode="External"/><Relationship Id="rId388" Type="http://schemas.openxmlformats.org/officeDocument/2006/relationships/hyperlink" Target="https://docs.google.com/spreadsheets/d/1Yh6XRoLw_DStoLOpCMeejDugf1f5gy8uy4kZdTlB0pA/edit?gid=0" TargetMode="External"/><Relationship Id="rId85" Type="http://schemas.openxmlformats.org/officeDocument/2006/relationships/hyperlink" Target="https://drive.google.com/drive/folders/1tIEHH3D06wPaWTqrGZL0YD1eKJuJp1PE?usp=drive_link" TargetMode="External"/><Relationship Id="rId150" Type="http://schemas.openxmlformats.org/officeDocument/2006/relationships/hyperlink" Target="https://drive.google.com/drive/folders/1RLNFH7w6wtJOYiMHYF7PNMlYgX0ahrGQ?usp=drive_link" TargetMode="External"/><Relationship Id="rId192" Type="http://schemas.openxmlformats.org/officeDocument/2006/relationships/hyperlink" Target="https://www.truper.com/ficha_tecnica/Juego-de-autocle-135-piezas-standard-y-milimetricos-1640.html?code=13975" TargetMode="External"/><Relationship Id="rId206" Type="http://schemas.openxmlformats.org/officeDocument/2006/relationships/hyperlink" Target="https://drive.google.com/file/d/1WwLY1lQi2XiSE0OtUotd4iudcZnmUB5t/view?usp=sharing" TargetMode="External"/><Relationship Id="rId248" Type="http://schemas.openxmlformats.org/officeDocument/2006/relationships/hyperlink" Target="https://drive.google.com/file/d/1WwLY1lQi2XiSE0OtUotd4iudcZnmUB5t/view?usp=sharing" TargetMode="External"/><Relationship Id="rId12" Type="http://schemas.openxmlformats.org/officeDocument/2006/relationships/hyperlink" Target="https://drive.google.com/drive/folders/1sDGXYFJzAphwF4_UNd4FT_cqiWN8U9cV?usp=drive_link" TargetMode="External"/><Relationship Id="rId108" Type="http://schemas.openxmlformats.org/officeDocument/2006/relationships/hyperlink" Target="https://docs.google.com/spreadsheets/d/1xOe2ruSaLp9MRXeDoHoqWBRX11yAIW5XuBeMsgojL1k/edit?gid=0" TargetMode="External"/><Relationship Id="rId315" Type="http://schemas.openxmlformats.org/officeDocument/2006/relationships/hyperlink" Target="https://drive.google.com/drive/folders/1JnlGhi2iO2eTs-KmUYwnMtnZ50Oy1Z4T" TargetMode="External"/><Relationship Id="rId357" Type="http://schemas.openxmlformats.org/officeDocument/2006/relationships/hyperlink" Target="https://www.promart.pe/respirador-media-cara-2-vias-con-filtros-p-vapores-gases-y-particulas-3m/p?gad_source=1&amp;gad_campaignid=22581639037&amp;gbraid=0AAAAADJIfALAcyjroPZU3sM9DjCIzWgVV&amp;gclid=CjwKC..." TargetMode="External"/><Relationship Id="rId54" Type="http://schemas.openxmlformats.org/officeDocument/2006/relationships/hyperlink" Target="https://drive.google.com/file/d/15wP1wCyHRUHAPzmkWgo2BK3JITFD7V0L/view?usp=drive_link" TargetMode="External"/><Relationship Id="rId96" Type="http://schemas.openxmlformats.org/officeDocument/2006/relationships/hyperlink" Target="https://docs.google.com/spreadsheets/d/1StfIaKVXAPd1hwEFnwuWPIghXkBSZKCBdhIL2gjh5fI/edit?gid=0" TargetMode="External"/><Relationship Id="rId161" Type="http://schemas.openxmlformats.org/officeDocument/2006/relationships/hyperlink" Target="https://drive.google.com/drive/folders/17QlauPd_Fq30SU4HgqnlAmR8yWvv9lQ7?usp=drive_link" TargetMode="External"/><Relationship Id="rId217" Type="http://schemas.openxmlformats.org/officeDocument/2006/relationships/hyperlink" Target="https://drive.google.com/file/d/1WwLY1lQi2XiSE0OtUotd4iudcZnmUB5t/view?usp=sharing" TargetMode="External"/><Relationship Id="rId399" Type="http://schemas.openxmlformats.org/officeDocument/2006/relationships/hyperlink" Target="https://www.wolfcraft-prod.de/products/wolfcraft/es/EUR/Productos/Cabezales-para-m%C3%A1quinas/Mesas-para-sierras-de-calar/Mesa-para-sierra-de-calar/p/P_6197" TargetMode="External"/><Relationship Id="rId259" Type="http://schemas.openxmlformats.org/officeDocument/2006/relationships/hyperlink" Target="https://docs.google.com/spreadsheets/d/1K38zJosTbr5Sk4a3prBd0GC2lpFNBaZb2x_P6Y7FnNk/edit?gid=0" TargetMode="External"/><Relationship Id="rId23" Type="http://schemas.openxmlformats.org/officeDocument/2006/relationships/hyperlink" Target="https://www.felder-group.com/es-es/productos/encoladoras-de-cantos-c1954/encoladora-de-cantos-forka-300-s-eco-p3204" TargetMode="External"/><Relationship Id="rId119" Type="http://schemas.openxmlformats.org/officeDocument/2006/relationships/hyperlink" Target="https://drive.google.com/file/d/1WwLY1lQi2XiSE0OtUotd4iudcZnmUB5t/view?usp=sharing" TargetMode="External"/><Relationship Id="rId270" Type="http://schemas.openxmlformats.org/officeDocument/2006/relationships/hyperlink" Target="https://drive.google.com/file/d/1WwLY1lQi2XiSE0OtUotd4iudcZnmUB5t/view?usp=sharing" TargetMode="External"/><Relationship Id="rId326" Type="http://schemas.openxmlformats.org/officeDocument/2006/relationships/hyperlink" Target="https://drive.google.com/drive/folders/1eUctiAb1c8HEKJFx7c32Fsn3xF-nONAU?usp=drive_link" TargetMode="External"/><Relationship Id="rId65" Type="http://schemas.openxmlformats.org/officeDocument/2006/relationships/hyperlink" Target="https://drive.google.com/open?id=1DPQqEDB8Dxxkl_9DETF6Afq1T-ZGNHoq&amp;usp=drive_copy" TargetMode="External"/><Relationship Id="rId130" Type="http://schemas.openxmlformats.org/officeDocument/2006/relationships/hyperlink" Target="https://drive.google.com/drive/folders/1YslFFsCHg4hk9nNHahf8icTKZ_I3M5Y-?usp=drive_link" TargetMode="External"/><Relationship Id="rId368" Type="http://schemas.openxmlformats.org/officeDocument/2006/relationships/hyperlink" Target="https://www.3m.com.pe/3M/es_PE/p/d/b00046819/" TargetMode="External"/><Relationship Id="rId172" Type="http://schemas.openxmlformats.org/officeDocument/2006/relationships/hyperlink" Target="https://www.amazon.es/Wolfcraft-4642000-Undercover-fijaci%C3%B3n-invisible/dp/B000P37JQK?th=1" TargetMode="External"/><Relationship Id="rId228" Type="http://schemas.openxmlformats.org/officeDocument/2006/relationships/hyperlink" Target="https://drive.google.com/file/d/1WwLY1lQi2XiSE0OtUotd4iudcZnmUB5t/view?usp=sharing" TargetMode="External"/><Relationship Id="rId281" Type="http://schemas.openxmlformats.org/officeDocument/2006/relationships/hyperlink" Target="https://drive.google.com/file/d/1WwLY1lQi2XiSE0OtUotd4iudcZnmUB5t/view?usp=sharing" TargetMode="External"/><Relationship Id="rId337" Type="http://schemas.openxmlformats.org/officeDocument/2006/relationships/hyperlink" Target="https://drive.google.com/drive/folders/1pYlrdk5dIRNYU0yy5R7OthyJbtjYF6Z6?usp=drive_link" TargetMode="External"/><Relationship Id="rId34" Type="http://schemas.openxmlformats.org/officeDocument/2006/relationships/hyperlink" Target="https://docs.google.com/spreadsheets/d/1n3hd2wWqBXQS6iCfIbyyavCtUWOz6T-eV4Gam414I4I/edit?gid=0" TargetMode="External"/><Relationship Id="rId76" Type="http://schemas.openxmlformats.org/officeDocument/2006/relationships/hyperlink" Target="https://shop.carbide3d.com/products/shapeoko4?variant=33051555987517" TargetMode="External"/><Relationship Id="rId141" Type="http://schemas.openxmlformats.org/officeDocument/2006/relationships/hyperlink" Target="https://cahema.pe/discos-de-sierra/1236-disco-sierra-12-adaptadores-80-dientes-aluminio-885911493901.html" TargetMode="External"/><Relationship Id="rId379" Type="http://schemas.openxmlformats.org/officeDocument/2006/relationships/hyperlink" Target="https://cam.start.canon/en/C006/manual/html/UG-05_Shooting-2_0070.html?utm_source=chatgpt.com" TargetMode="External"/><Relationship Id="rId7" Type="http://schemas.openxmlformats.org/officeDocument/2006/relationships/hyperlink" Target="https://www.leroymerlin.es/productos/compresor-goodyear-gy351d-3hp-50l-86538711.html" TargetMode="External"/><Relationship Id="rId183" Type="http://schemas.openxmlformats.org/officeDocument/2006/relationships/hyperlink" Target="https://docs.google.com/spreadsheets/d/1vPhrwmdsahWxZD0e1WaofZZ-JSMfwnXhvpKP6RZ9Vbs/edit?gid=0" TargetMode="External"/><Relationship Id="rId239" Type="http://schemas.openxmlformats.org/officeDocument/2006/relationships/hyperlink" Target="https://drive.google.com/drive/folders/1jydZADc49yULQRB_nguMbZuvTKqxGSkN?usp=drive_link" TargetMode="External"/><Relationship Id="rId390" Type="http://schemas.openxmlformats.org/officeDocument/2006/relationships/hyperlink" Target="https://drive.google.com/file/d/1YH9h9tbwIk3ZRor_6eb1LK55_rFPY5cG/view?usp=sharing" TargetMode="External"/><Relationship Id="rId250" Type="http://schemas.openxmlformats.org/officeDocument/2006/relationships/hyperlink" Target="https://www.amazon.com/-/es/dp/B092MG3DVG?ref=fed_asin_title&amp;th=1" TargetMode="External"/><Relationship Id="rId292" Type="http://schemas.openxmlformats.org/officeDocument/2006/relationships/hyperlink" Target="https://drive.google.com/open?id=1jx5uj7sj0nT22YyyxIEd-rACfLgtfAaW&amp;usp=drive_copy" TargetMode="External"/><Relationship Id="rId306" Type="http://schemas.openxmlformats.org/officeDocument/2006/relationships/hyperlink" Target="https://www.amazon.com/-/es/Rustark-martillo-pl%C3%A1stico-peque%C3%B1o-cabezales/dp/B0C23L86CN/ref=sr_1_67?__mk_es_US=%C3%85M%C3%85%C5%BD%C3%95%C3%91&amp;crid=1S37NWYI4TCE5&amp;dib=eyJ2IjoiMSJ9.tUuT6jSNpjd6bCzOAz0VixLOrUlF1QUjSCIDT-axL4sgLMGybYROJulmOWKMl9YYGA1_lIZstz84eJNQcjN8asa7IwTG219LV5fbs1a85dhJW6-tsGB2KEH-AugSrfnKF3cviPiJcSKaml82VA71WkcHeZkBKQLN422RWBIGAeyoAeFDqnlJFz02clXXviSoCuZXECf4RtOqZmvpl76vZGxUL5Cu_LcPJxh45fE6VxpgrSQIHgxorotPKF4KSqapMgSjW-QqPSUzUhPsEhd_91qFLLOfL2FV7zzO8-XFSqM.Z7kM0VbVljxsvUrPw6HC9kC7dNy3BNcxy4FIAwW68eg&amp;dib_tag=se&amp;keywords=mazo+de+goma+Nylon&amp;qid=1769637837&amp;sprefix=mazo+de+goma+nylon%2Caps%2C199&amp;sr=8-67&amp;xpid=Pu4oOv1RO1CXK" TargetMode="External"/><Relationship Id="rId45" Type="http://schemas.openxmlformats.org/officeDocument/2006/relationships/hyperlink" Target="https://drive.google.com/file/d/1WwLY1lQi2XiSE0OtUotd4iudcZnmUB5t/view?usp=sharing" TargetMode="External"/><Relationship Id="rId87" Type="http://schemas.openxmlformats.org/officeDocument/2006/relationships/hyperlink" Target="https://drive.google.com/file/d/1dPUXTHiLd42S5DgEyRoDLyvJngwcqFbJ/view?usp=drive_link" TargetMode="External"/><Relationship Id="rId110" Type="http://schemas.openxmlformats.org/officeDocument/2006/relationships/hyperlink" Target="https://drive.google.com/drive/folders/1yXF3EK4qRs07HIx99Wd9p-NGJTcom5gi?usp=drive_link" TargetMode="External"/><Relationship Id="rId348" Type="http://schemas.openxmlformats.org/officeDocument/2006/relationships/hyperlink" Target="https://drive.google.com/file/d/1WwLY1lQi2XiSE0OtUotd4iudcZnmUB5t/view?usp=sharing" TargetMode="External"/><Relationship Id="rId152" Type="http://schemas.openxmlformats.org/officeDocument/2006/relationships/hyperlink" Target="https://docs.google.com/spreadsheets/d/1MypWMjQfW9vZYJAwZzC00ab8PHEL8BqBZ9HuZeL5pAE/edit?gid=0" TargetMode="External"/><Relationship Id="rId194" Type="http://schemas.openxmlformats.org/officeDocument/2006/relationships/hyperlink" Target="https://drive.google.com/file/d/1WwLY1lQi2XiSE0OtUotd4iudcZnmUB5t/view?usp=sharing" TargetMode="External"/><Relationship Id="rId208" Type="http://schemas.openxmlformats.org/officeDocument/2006/relationships/hyperlink" Target="https://drive.google.com/open?id=1ascmlgQeiqCEOGnZxW4sBVtyJgI-ImSF&amp;usp=drive_copy" TargetMode="External"/><Relationship Id="rId261" Type="http://schemas.openxmlformats.org/officeDocument/2006/relationships/hyperlink" Target="https://drive.google.com/drive/folders/1cRGeImrKGx0LIUFZedTsm6emF75nKHOH?usp=sharing" TargetMode="External"/><Relationship Id="rId14" Type="http://schemas.openxmlformats.org/officeDocument/2006/relationships/hyperlink" Target="https://docs.google.com/spreadsheets/d/1i2k0hEV9FxTZJYcqxGVihMEDsOe7IQII-lQfirVjYsg/edit?gid=0" TargetMode="External"/><Relationship Id="rId56" Type="http://schemas.openxmlformats.org/officeDocument/2006/relationships/hyperlink" Target="https://meters.uni-trend.com/product/ut61plus-series/" TargetMode="External"/><Relationship Id="rId317" Type="http://schemas.openxmlformats.org/officeDocument/2006/relationships/hyperlink" Target="https://docs.google.com/spreadsheets/d/1Cx7aRfKDa0R1LNE3pWysot4mBS2d0oaXJPF_UtLbHhM/edit?gid=0" TargetMode="External"/><Relationship Id="rId359" Type="http://schemas.openxmlformats.org/officeDocument/2006/relationships/hyperlink" Target="https://drive.google.com/file/d/1WwLY1lQi2XiSE0OtUotd4iudcZnmUB5t/view?usp=sharing" TargetMode="External"/><Relationship Id="rId98" Type="http://schemas.openxmlformats.org/officeDocument/2006/relationships/hyperlink" Target="https://drive.google.com/drive/folders/1omMRFVlbwNygoboRhvDBzcvRksYQTkLH?usp=drive_link" TargetMode="External"/><Relationship Id="rId121" Type="http://schemas.openxmlformats.org/officeDocument/2006/relationships/hyperlink" Target="https://mistermateriaux.com/produit/foret-bois/4twvjb" TargetMode="External"/><Relationship Id="rId163" Type="http://schemas.openxmlformats.org/officeDocument/2006/relationships/hyperlink" Target="https://docs.google.com/spreadsheets/d/1RtFyYDgeg7dI3-_lQR0E5dQ9YO_iOMpP_IXUJrED90A/edit?pli=1&amp;gid=0" TargetMode="External"/><Relationship Id="rId219" Type="http://schemas.openxmlformats.org/officeDocument/2006/relationships/hyperlink" Target="https://armotec.pe/products/medidor-de-humedad-de-materiales-ama005" TargetMode="External"/><Relationship Id="rId370" Type="http://schemas.openxmlformats.org/officeDocument/2006/relationships/hyperlink" Target="https://drive.google.com/file/d/1WwLY1lQi2XiSE0OtUotd4iudcZnmUB5t/view?usp=sharing" TargetMode="External"/><Relationship Id="rId230" Type="http://schemas.openxmlformats.org/officeDocument/2006/relationships/hyperlink" Target="https://www.plazavea.com.pe/medidor-de-angulos-bosch-gam-220-mf-101376464/p?gclsrc=aw.ds&amp;gad_source=1&amp;gad_campaignid=22403266061&amp;gbraid=0AAAAAqXj2Lpfnd6JpmOx6JThZB7KPUFi6&amp;gclid=CjwKCAjwup3HBhAAEiwA7euZumam8kcQ1iRZrsmfFukh4bx-BWQQbG_nMh7nCD8RCwgZaG0hjaP0DxoCY5wQAvD_BwE" TargetMode="External"/><Relationship Id="rId25" Type="http://schemas.openxmlformats.org/officeDocument/2006/relationships/hyperlink" Target="https://drive.google.com/file/d/1WwLY1lQi2XiSE0OtUotd4iudcZnmUB5t/view?usp=sharing" TargetMode="External"/><Relationship Id="rId67" Type="http://schemas.openxmlformats.org/officeDocument/2006/relationships/hyperlink" Target="https://docs.google.com/spreadsheets/d/19IY3YqYmSIbrqCBr5_gbNJe8MH6e7KOhDny31_a3AHI/edit?gid=0" TargetMode="External"/><Relationship Id="rId272" Type="http://schemas.openxmlformats.org/officeDocument/2006/relationships/hyperlink" Target="https://www.stanleytools.com.au/product/1-12-151/stanley-spokeshave-151" TargetMode="External"/><Relationship Id="rId328" Type="http://schemas.openxmlformats.org/officeDocument/2006/relationships/hyperlink" Target="https://docs.google.com/spreadsheets/d/1Yr9a3vfZY8Vf67P_sKfBPopxamZLyfQ9YveP77yPC00/edit?gid=0" TargetMode="External"/><Relationship Id="rId132" Type="http://schemas.openxmlformats.org/officeDocument/2006/relationships/hyperlink" Target="https://docs.google.com/spreadsheets/d/1obLRylGCR5ZzuYwckVnzgQO00HQFqVxemSJCb_95xRI/edit?gid=0" TargetMode="External"/><Relationship Id="rId174" Type="http://schemas.openxmlformats.org/officeDocument/2006/relationships/hyperlink" Target="https://drive.google.com/file/d/1WwLY1lQi2XiSE0OtUotd4iudcZnmUB5t/view?usp=sharing" TargetMode="External"/><Relationship Id="rId381" Type="http://schemas.openxmlformats.org/officeDocument/2006/relationships/hyperlink" Target="https://drive.google.com/file/d/1I-M-Ra6pUId8KiuqWqyTcLG-tCLYFcq3/view?usp=sharing" TargetMode="External"/><Relationship Id="rId241" Type="http://schemas.openxmlformats.org/officeDocument/2006/relationships/hyperlink" Target="https://docs.google.com/spreadsheets/d/19UKODrevpd_Pb4UoN5BkUNpa_vxiqDu42carY2OhQkY/edit?gid=0" TargetMode="External"/><Relationship Id="rId36" Type="http://schemas.openxmlformats.org/officeDocument/2006/relationships/hyperlink" Target="https://drive.google.com/drive/folders/17SBVlnCB_rE4yrj7WpCrt227nq45brod?usp=drive_link" TargetMode="External"/><Relationship Id="rId283" Type="http://schemas.openxmlformats.org/officeDocument/2006/relationships/hyperlink" Target="https://rodavigo.net/es/p/juego-de-formones-mango-madera-5-piezas-6-10-12-18-25-mm-ref-bahco-425-082/574425082" TargetMode="External"/><Relationship Id="rId339" Type="http://schemas.openxmlformats.org/officeDocument/2006/relationships/hyperlink" Target="https://docs.google.com/spreadsheets/d/1Om96dGaRUoZcuiZ55695aANF38S5VHnBA2RFKwZkjXs/edit?gid=0" TargetMode="External"/><Relationship Id="rId78" Type="http://schemas.openxmlformats.org/officeDocument/2006/relationships/hyperlink" Target="https://drive.google.com/file/d/1WwLY1lQi2XiSE0OtUotd4iudcZnmUB5t/view?usp=sharing" TargetMode="External"/><Relationship Id="rId101" Type="http://schemas.openxmlformats.org/officeDocument/2006/relationships/hyperlink" Target="https://www.holzmann-maschinen.at/ES/Mortajadora-horizontal-845" TargetMode="External"/><Relationship Id="rId143" Type="http://schemas.openxmlformats.org/officeDocument/2006/relationships/hyperlink" Target="https://drive.google.com/file/d/1WwLY1lQi2XiSE0OtUotd4iudcZnmUB5t/view?usp=sharing" TargetMode="External"/><Relationship Id="rId185" Type="http://schemas.openxmlformats.org/officeDocument/2006/relationships/hyperlink" Target="https://drive.google.com/open?id=1XkSuXo5BMRQkDcwRjvvVhL6M3WNwYHk9&amp;usp=drive_copy" TargetMode="External"/><Relationship Id="rId350" Type="http://schemas.openxmlformats.org/officeDocument/2006/relationships/hyperlink" Target="https://casadelasbatas.com/batas-industria/52174-93549-bata-guardapolvo-industrial-confort-fit-monza.html?_gl=1*6awugg*_up*MQ..*_ga*MzQzNDk3ODY0LjE3NTk3ODkwNzc.*_ga_HQFNFVNCSB*czE3NTk3ODkwNzYkbzEkZzEkdDE3NTk3ODkxMDgkajI4JGwwJGgw" TargetMode="External"/><Relationship Id="rId9" Type="http://schemas.openxmlformats.org/officeDocument/2006/relationships/hyperlink" Target="https://drive.google.com/file/d/1WwLY1lQi2XiSE0OtUotd4iudcZnmUB5t/view?usp=sharing" TargetMode="External"/><Relationship Id="rId210" Type="http://schemas.openxmlformats.org/officeDocument/2006/relationships/hyperlink" Target="https://docs.google.com/spreadsheets/d/1XX-5M4qn0KQ-Iiwy3rF3cPW-su1iBxMNH-GMzpIvJZo/edit?gid=0" TargetMode="External"/><Relationship Id="rId392" Type="http://schemas.openxmlformats.org/officeDocument/2006/relationships/hyperlink" Target="https://drive.google.com/file/d/1h4VAVdnpYwVJWfv9Am07uX69gQjmocj4/view?usp=sharing" TargetMode="External"/><Relationship Id="rId252" Type="http://schemas.openxmlformats.org/officeDocument/2006/relationships/hyperlink" Target="https://drive.google.com/file/d/1WwLY1lQi2XiSE0OtUotd4iudcZnmUB5t/view?usp=sharing" TargetMode="External"/><Relationship Id="rId294" Type="http://schemas.openxmlformats.org/officeDocument/2006/relationships/hyperlink" Target="https://docs.google.com/spreadsheets/d/16awoRAtskLQraHNQXLdL0CnDjXnR969ICeyM8AufBGA/edit?gid=0" TargetMode="External"/><Relationship Id="rId308" Type="http://schemas.openxmlformats.org/officeDocument/2006/relationships/hyperlink" Target="https://drive.google.com/file/d/1WwLY1lQi2XiSE0OtUotd4iudcZnmUB5t/view?usp=sharing" TargetMode="External"/><Relationship Id="rId47" Type="http://schemas.openxmlformats.org/officeDocument/2006/relationships/hyperlink" Target="https://www.makita.es/product/pj7000.html" TargetMode="External"/><Relationship Id="rId89" Type="http://schemas.openxmlformats.org/officeDocument/2006/relationships/hyperlink" Target="https://www.felder-group.com/WEB/Machines/Manuals/K3/503010-902_02_2211_HA_BA_K3_basic_winner_ENG_Lo.pdf" TargetMode="External"/><Relationship Id="rId112" Type="http://schemas.openxmlformats.org/officeDocument/2006/relationships/hyperlink" Target="https://docs.google.com/spreadsheets/d/1RDnPddNi_fyO752K-I-s4MeNRX1cwU5d7Ue1KKrWiu4/edit?gid=0" TargetMode="External"/><Relationship Id="rId154" Type="http://schemas.openxmlformats.org/officeDocument/2006/relationships/hyperlink" Target="https://drive.google.com/drive/folders/1ttDXXuc5H209RFvIEhns-yduw2nsaN-P?usp=drive_link" TargetMode="External"/><Relationship Id="rId361" Type="http://schemas.openxmlformats.org/officeDocument/2006/relationships/hyperlink" Target="https://www.truper.com/ficha_tecnica/Goggles-de-seguridad-con-valvulas-de-ventilacion-indirecta-4850.html?code=14220" TargetMode="External"/><Relationship Id="rId196" Type="http://schemas.openxmlformats.org/officeDocument/2006/relationships/hyperlink" Target="https://www.itools.pe/product/juego-de-fresas-1-4-para-madera?srsltid=AfmBOoocm6Kc-SBxYH3geEBJQ1FWp4a83bFoAw6oYFLUSMBlJ46FSOp4" TargetMode="External"/><Relationship Id="rId16" Type="http://schemas.openxmlformats.org/officeDocument/2006/relationships/hyperlink" Target="https://drive.google.com/drive/folders/1UiF-nScFK2QsBvxhoEuiQTEHpw9z4xMB" TargetMode="External"/><Relationship Id="rId221" Type="http://schemas.openxmlformats.org/officeDocument/2006/relationships/hyperlink" Target="https://drive.google.com/file/d/1WwLY1lQi2XiSE0OtUotd4iudcZnmUB5t/view?usp=sharing" TargetMode="External"/><Relationship Id="rId263" Type="http://schemas.openxmlformats.org/officeDocument/2006/relationships/hyperlink" Target="https://docs.google.com/spreadsheets/d/1b3Lu7gVt9dn1-TMGkCJk6mRFxXUVFXg9b0dQxdeD_mY/edit?gid=0" TargetMode="External"/><Relationship Id="rId319" Type="http://schemas.openxmlformats.org/officeDocument/2006/relationships/hyperlink" Target="https://drive.google.com/open?id=1hD9Cyy4ggPD3qJ6iuHLHum7D8g35oqkQ&amp;usp=drive_copy" TargetMode="External"/><Relationship Id="rId58" Type="http://schemas.openxmlformats.org/officeDocument/2006/relationships/hyperlink" Target="https://drive.google.com/file/d/1WwLY1lQi2XiSE0OtUotd4iudcZnmUB5t/view?usp=sharing" TargetMode="External"/><Relationship Id="rId123" Type="http://schemas.openxmlformats.org/officeDocument/2006/relationships/hyperlink" Target="https://drive.google.com/file/d/1WwLY1lQi2XiSE0OtUotd4iudcZnmUB5t/view?usp=sharing" TargetMode="External"/><Relationship Id="rId330" Type="http://schemas.openxmlformats.org/officeDocument/2006/relationships/hyperlink" Target="https://drive.google.com/drive/folders/1pSBq3BYXuSTafyVhlzLOc6Ai6ETKe0Uf" TargetMode="External"/><Relationship Id="rId90" Type="http://schemas.openxmlformats.org/officeDocument/2006/relationships/hyperlink" Target="https://drive.google.com/open?id=1YLvZ8kNeh8oYSVSW9gvNhp3y2BWRNtku&amp;usp=drive_copy" TargetMode="External"/><Relationship Id="rId165" Type="http://schemas.openxmlformats.org/officeDocument/2006/relationships/hyperlink" Target="https://drive.google.com/drive/folders/1F2muQtOl3Rsazn3KcRw23_VGYXK19cFV?usp=drive_link" TargetMode="External"/><Relationship Id="rId186" Type="http://schemas.openxmlformats.org/officeDocument/2006/relationships/hyperlink" Target="https://drive.google.com/file/d/1WwLY1lQi2XiSE0OtUotd4iudcZnmUB5t/view?usp=sharing" TargetMode="External"/><Relationship Id="rId351" Type="http://schemas.openxmlformats.org/officeDocument/2006/relationships/hyperlink" Target="https://drive.google.com/open?id=13notpPN_l0CKNlsmir9x7G30mLE4MV1f&amp;usp=drive_copy" TargetMode="External"/><Relationship Id="rId372" Type="http://schemas.openxmlformats.org/officeDocument/2006/relationships/hyperlink" Target="https://drive.google.com/open?id=1tjv8vD2a4YdwQLAj0lBc9paV9hkf297N&amp;usp=drive_copy" TargetMode="External"/><Relationship Id="rId393" Type="http://schemas.openxmlformats.org/officeDocument/2006/relationships/hyperlink" Target="https://docs.google.com/spreadsheets/d/1AVQzgU3oM784FekK5gfZtDUFKYnGOsGnXF6eeh1BLgY/edit?usp=sharing" TargetMode="External"/><Relationship Id="rId211" Type="http://schemas.openxmlformats.org/officeDocument/2006/relationships/hyperlink" Target="https://www.bosch-professional.com/sa/en/extra-hard-screwdriver-bit-mixed-sets-compact-for-various-screw-types-with-magnetic-universal-holder-2867918-ocs-ac/" TargetMode="External"/><Relationship Id="rId232" Type="http://schemas.openxmlformats.org/officeDocument/2006/relationships/hyperlink" Target="https://drive.google.com/file/d/1WwLY1lQi2XiSE0OtUotd4iudcZnmUB5t/view?usp=sharing" TargetMode="External"/><Relationship Id="rId253" Type="http://schemas.openxmlformats.org/officeDocument/2006/relationships/hyperlink" Target="https://docs.google.com/spreadsheets/d/18ePjOyR3I31aszCFEvE3UHJAZQbvkrCknj2m_IcYeok/edit?gid=0" TargetMode="External"/><Relationship Id="rId274" Type="http://schemas.openxmlformats.org/officeDocument/2006/relationships/hyperlink" Target="https://drive.google.com/file/d/1WwLY1lQi2XiSE0OtUotd4iudcZnmUB5t/view?usp=sharing" TargetMode="External"/><Relationship Id="rId295" Type="http://schemas.openxmlformats.org/officeDocument/2006/relationships/hyperlink" Target="https://www.truper.com/ficha_tecnica/Prensa-con-ajuste-rapido-uso-rudo.html?code=100142" TargetMode="External"/><Relationship Id="rId309" Type="http://schemas.openxmlformats.org/officeDocument/2006/relationships/hyperlink" Target="https://docs.google.com/spreadsheets/d/1VobE-FQPEDpgEIcXnJoAfYxKfrJnBcCoQZCO97hz-cU/edit?gid=0" TargetMode="External"/><Relationship Id="rId27" Type="http://schemas.openxmlformats.org/officeDocument/2006/relationships/hyperlink" Target="https://www.aslak.es/madera/5922201-sistema-de-aspiracion-saa-2001.html" TargetMode="External"/><Relationship Id="rId48" Type="http://schemas.openxmlformats.org/officeDocument/2006/relationships/hyperlink" Target="https://drive.google.com/drive/folders/1eXiId4XgU60q_44nkTLzAJsYEfp3su44?usp=drive_link" TargetMode="External"/><Relationship Id="rId69" Type="http://schemas.openxmlformats.org/officeDocument/2006/relationships/hyperlink" Target="https://drive.google.com/drive/folders/1W7s5XWOLgFmCFTnJO9NqgZDN-c7Kfbfn" TargetMode="External"/><Relationship Id="rId113" Type="http://schemas.openxmlformats.org/officeDocument/2006/relationships/hyperlink" Target="https://rodavigo.net/es/p/aceitera-metalica-msm-500-cc-ref-samoa-175250/294175250" TargetMode="External"/><Relationship Id="rId134" Type="http://schemas.openxmlformats.org/officeDocument/2006/relationships/hyperlink" Target="https://drive.google.com/open?id=15-gWJfoeD4XBsWHPdXjEb7uhQCu8oeKD&amp;usp=drive_copy" TargetMode="External"/><Relationship Id="rId320" Type="http://schemas.openxmlformats.org/officeDocument/2006/relationships/hyperlink" Target="https://drive.google.com/file/d/1WwLY1lQi2XiSE0OtUotd4iudcZnmUB5t/view?usp=sharing" TargetMode="External"/><Relationship Id="rId80" Type="http://schemas.openxmlformats.org/officeDocument/2006/relationships/hyperlink" Target="https://www.bosch-professional.com/pe/es/products/gst-90-be-060158F0E0" TargetMode="External"/><Relationship Id="rId155" Type="http://schemas.openxmlformats.org/officeDocument/2006/relationships/hyperlink" Target="https://drive.google.com/file/d/1WwLY1lQi2XiSE0OtUotd4iudcZnmUB5t/view?usp=sharing" TargetMode="External"/><Relationship Id="rId176" Type="http://schemas.openxmlformats.org/officeDocument/2006/relationships/hyperlink" Target="https://www.amazon.es/perforaci%C3%B3n-Herramienta-localizaci%C3%B3n-posicionador-carpinter%C3%ADa/dp/B07XTDHGQD?ie=UTF8&amp;useRedirectOnSuccess=1&amp;ref_=dex_glow_signin&amp;path=%2Fperforaci%25C3%25B3n-Herramienta-localizaci%25C3%25B3n-posicionador-carpinter%25C3%25ADa%2Fdp%2FB07XTDHGQD" TargetMode="External"/><Relationship Id="rId197" Type="http://schemas.openxmlformats.org/officeDocument/2006/relationships/hyperlink" Target="https://drive.google.com/open?id=1He2z6BOQ6ngYmOSKVCkBKWcvTfGblN08&amp;usp=drive_copy" TargetMode="External"/><Relationship Id="rId341" Type="http://schemas.openxmlformats.org/officeDocument/2006/relationships/hyperlink" Target="https://drive.google.com/file/d/1_UHuH37ATrm911Ohx4aL_9Z3m--yiXpV/view?usp=sharing" TargetMode="External"/><Relationship Id="rId362" Type="http://schemas.openxmlformats.org/officeDocument/2006/relationships/hyperlink" Target="https://drive.google.com/open?id=1jAWRaWkpZtFuwweHj0Mk2w7WWNR9ULRM&amp;usp=drive_copy" TargetMode="External"/><Relationship Id="rId383" Type="http://schemas.openxmlformats.org/officeDocument/2006/relationships/hyperlink" Target="https://drive.google.com/file/d/1WwLY1lQi2XiSE0OtUotd4iudcZnmUB5t/view?usp=sharing" TargetMode="External"/><Relationship Id="rId201" Type="http://schemas.openxmlformats.org/officeDocument/2006/relationships/hyperlink" Target="https://drive.google.com/open?id=1avSlYXxICUssMlP1-LU_ZWamJ0feu3x5&amp;usp=drive_copy" TargetMode="External"/><Relationship Id="rId222" Type="http://schemas.openxmlformats.org/officeDocument/2006/relationships/hyperlink" Target="https://docs.google.com/spreadsheets/d/16M8GvkpvjPSOuxqRpDmhEExoBxHtS64DghCgyo8QH70/edit?gid=0" TargetMode="External"/><Relationship Id="rId243" Type="http://schemas.openxmlformats.org/officeDocument/2006/relationships/hyperlink" Target="https://drive.google.com/open?id=11P88yMirHYZh2VGSL1QU4fW3kvQcvAq6&amp;usp=drive_copy" TargetMode="External"/><Relationship Id="rId264" Type="http://schemas.openxmlformats.org/officeDocument/2006/relationships/hyperlink" Target="https://drive.google.com/file/d/1-F5fpskdDW5kOYskhA1mQAHH7luw6zu1/view?usp=sharing" TargetMode="External"/><Relationship Id="rId285" Type="http://schemas.openxmlformats.org/officeDocument/2006/relationships/hyperlink" Target="https://drive.google.com/file/d/1WwLY1lQi2XiSE0OtUotd4iudcZnmUB5t/view?usp=sharing" TargetMode="External"/><Relationship Id="rId17" Type="http://schemas.openxmlformats.org/officeDocument/2006/relationships/hyperlink" Target="https://drive.google.com/file/d/1WwLY1lQi2XiSE0OtUotd4iudcZnmUB5t/view?usp=sharing" TargetMode="External"/><Relationship Id="rId38" Type="http://schemas.openxmlformats.org/officeDocument/2006/relationships/hyperlink" Target="https://docs.google.com/spreadsheets/d/1OJuooEVqLfjrMuPlCw1bv5U6YmlxGkVoHf_go29cV98/edit?usp=sharing" TargetMode="External"/><Relationship Id="rId59" Type="http://schemas.openxmlformats.org/officeDocument/2006/relationships/hyperlink" Target="https://docs.google.com/spreadsheets/d/108_TQ-8CB8ozhe43kso2AXZcoCYbuqBM_KK2KmmIVsk/edit?usp=sharing" TargetMode="External"/><Relationship Id="rId103" Type="http://schemas.openxmlformats.org/officeDocument/2006/relationships/hyperlink" Target="https://drive.google.com/file/d/1WwLY1lQi2XiSE0OtUotd4iudcZnmUB5t/view?usp=sharing" TargetMode="External"/><Relationship Id="rId124" Type="http://schemas.openxmlformats.org/officeDocument/2006/relationships/hyperlink" Target="https://docs.google.com/spreadsheets/d/1DbQllA6SMDAZCWHxB7LYXNirUDPe-Tc26NnXKKWen_c/edit?gid=0" TargetMode="External"/><Relationship Id="rId310" Type="http://schemas.openxmlformats.org/officeDocument/2006/relationships/hyperlink" Target="https://www.truper.com/ficha_tecnica/Prensas-forjadas-en-acero-uso-industrial.html?code=17655" TargetMode="External"/><Relationship Id="rId70" Type="http://schemas.openxmlformats.org/officeDocument/2006/relationships/hyperlink" Target="https://drive.google.com/file/d/1WwLY1lQi2XiSE0OtUotd4iudcZnmUB5t/view?usp=sharing" TargetMode="External"/><Relationship Id="rId91" Type="http://schemas.openxmlformats.org/officeDocument/2006/relationships/hyperlink" Target="https://drive.google.com/file/d/1WwLY1lQi2XiSE0OtUotd4iudcZnmUB5t/view?usp=sharing" TargetMode="External"/><Relationship Id="rId145" Type="http://schemas.openxmlformats.org/officeDocument/2006/relationships/hyperlink" Target="https://cahema.pe/discos-de-sierra/1799-disco-sierra-10-x-100-dientes-multimaterial-bosch-3165140602099.html" TargetMode="External"/><Relationship Id="rId166" Type="http://schemas.openxmlformats.org/officeDocument/2006/relationships/hyperlink" Target="https://drive.google.com/file/d/1WwLY1lQi2XiSE0OtUotd4iudcZnmUB5t/view?usp=sharing" TargetMode="External"/><Relationship Id="rId187" Type="http://schemas.openxmlformats.org/officeDocument/2006/relationships/hyperlink" Target="https://docs.google.com/spreadsheets/d/1LlNa1QyI76ZDBdvIpeSNtF99kW2vq4HFglHdXPzUbag/edit?gid=0" TargetMode="External"/><Relationship Id="rId331" Type="http://schemas.openxmlformats.org/officeDocument/2006/relationships/hyperlink" Target="https://drive.google.com/file/d/1WwLY1lQi2XiSE0OtUotd4iudcZnmUB5t/view?usp=sharing" TargetMode="External"/><Relationship Id="rId352" Type="http://schemas.openxmlformats.org/officeDocument/2006/relationships/hyperlink" Target="https://drive.google.com/file/d/1WwLY1lQi2XiSE0OtUotd4iudcZnmUB5t/view?usp=sharing" TargetMode="External"/><Relationship Id="rId373" Type="http://schemas.openxmlformats.org/officeDocument/2006/relationships/hyperlink" Target="https://drive.google.com/file/d/1WwLY1lQi2XiSE0OtUotd4iudcZnmUB5t/view?usp=sharing" TargetMode="External"/><Relationship Id="rId394" Type="http://schemas.openxmlformats.org/officeDocument/2006/relationships/hyperlink" Target="https://drive.google.com/file/d/1_UHuH37ATrm911Ohx4aL_9Z3m--yiXpV/view?usp=sharing" TargetMode="External"/><Relationship Id="rId1" Type="http://schemas.openxmlformats.org/officeDocument/2006/relationships/hyperlink" Target="https://drive.google.com/drive/folders/11m1JnCwIeKVVf8T2Qpbe9f9BqYiURtrW?usp=drive_link" TargetMode="External"/><Relationship Id="rId212" Type="http://schemas.openxmlformats.org/officeDocument/2006/relationships/hyperlink" Target="https://drive.google.com/open?id=1kGCD2t8C2yFXZYw_hZlRchhpthKcvJyO&amp;usp=drive_copy" TargetMode="External"/><Relationship Id="rId233" Type="http://schemas.openxmlformats.org/officeDocument/2006/relationships/hyperlink" Target="https://docs.google.com/spreadsheets/d/17e6B4aDappZNYtC9u2zuhmST7moUMVcmUGh_l79EvV4/edit?gid=0" TargetMode="External"/><Relationship Id="rId254" Type="http://schemas.openxmlformats.org/officeDocument/2006/relationships/hyperlink" Target="https://drive.google.com/drive/folders/1hRbMY9frNf6qSxDXCkaKbFeTz2FSMerU?usp=sharing" TargetMode="External"/><Relationship Id="rId28" Type="http://schemas.openxmlformats.org/officeDocument/2006/relationships/hyperlink" Target="https://drive.google.com/drive/folders/10AhqSAMl2iQtAA4HvnmNOYZ5Rg2m0rid?usp=drive_link" TargetMode="External"/><Relationship Id="rId49" Type="http://schemas.openxmlformats.org/officeDocument/2006/relationships/hyperlink" Target="https://drive.google.com/file/d/1WwLY1lQi2XiSE0OtUotd4iudcZnmUB5t/view?usp=sharing" TargetMode="External"/><Relationship Id="rId114" Type="http://schemas.openxmlformats.org/officeDocument/2006/relationships/hyperlink" Target="https://drive.google.com/open?id=1uFH_Qx5WKkvC8caKeqAVQhAQWGkhpFNO&amp;usp=drive_copy" TargetMode="External"/><Relationship Id="rId275" Type="http://schemas.openxmlformats.org/officeDocument/2006/relationships/hyperlink" Target="https://docs.google.com/spreadsheets/d/1030WFDgZN_rEIWjPXC_WZeLEF_44uRuf4-6RVUpU9tY/edit?gid=0" TargetMode="External"/><Relationship Id="rId296" Type="http://schemas.openxmlformats.org/officeDocument/2006/relationships/hyperlink" Target="https://drive.google.com/open?id=1P449SS_NXs5E8ZRmE3JSWhoOcu6hKequ&amp;usp=drive_copy" TargetMode="External"/><Relationship Id="rId300" Type="http://schemas.openxmlformats.org/officeDocument/2006/relationships/hyperlink" Target="https://drive.google.com/open?id=1Gx_mYLm2PwADl9qZwGa9B_0McRU325uQ&amp;usp=drive_copy" TargetMode="External"/><Relationship Id="rId60" Type="http://schemas.openxmlformats.org/officeDocument/2006/relationships/hyperlink" Target="https://www.truper.com/ficha_tecnica/Pistola-de-aire-SERIE-400-de-gravedadvaso-multiposicion.html?code=11095" TargetMode="External"/><Relationship Id="rId81" Type="http://schemas.openxmlformats.org/officeDocument/2006/relationships/hyperlink" Target="https://drive.google.com/drive/folders/1iZu-sKQR2ripW4ncuK3K1cEAAO4EQRYq?usp=drive_link" TargetMode="External"/><Relationship Id="rId135" Type="http://schemas.openxmlformats.org/officeDocument/2006/relationships/hyperlink" Target="https://drive.google.com/file/d/1WwLY1lQi2XiSE0OtUotd4iudcZnmUB5t/view?usp=sharing" TargetMode="External"/><Relationship Id="rId156" Type="http://schemas.openxmlformats.org/officeDocument/2006/relationships/hyperlink" Target="https://docs.google.com/spreadsheets/d/19qNyf7Yi2-kMPGj2HThZ_y1F2wzc32IcAxF2q_EBMO0/edit?gid=0" TargetMode="External"/><Relationship Id="rId177" Type="http://schemas.openxmlformats.org/officeDocument/2006/relationships/hyperlink" Target="https://drive.google.com/open?id=1T2Y0UmIfO030EB2IP6x54faHhDX4S0Qi&amp;usp=drive_copy" TargetMode="External"/><Relationship Id="rId198" Type="http://schemas.openxmlformats.org/officeDocument/2006/relationships/hyperlink" Target="https://drive.google.com/file/d/1WwLY1lQi2XiSE0OtUotd4iudcZnmUB5t/view?usp=sharing" TargetMode="External"/><Relationship Id="rId321" Type="http://schemas.openxmlformats.org/officeDocument/2006/relationships/hyperlink" Target="https://docs.google.com/spreadsheets/d/1l51IyaBRy8dtdNpm_1tZ2CaU1bwJLNrGnkdA1JzyO3k/edit?gid=0" TargetMode="External"/><Relationship Id="rId342" Type="http://schemas.openxmlformats.org/officeDocument/2006/relationships/hyperlink" Target="https://docs.google.com/spreadsheets/d/1v6_BzUVw-q08w1XtsA6ppQEUqLqarqVgCjO33ATzisY/edit?gid=0" TargetMode="External"/><Relationship Id="rId363" Type="http://schemas.openxmlformats.org/officeDocument/2006/relationships/hyperlink" Target="https://drive.google.com/file/d/1WwLY1lQi2XiSE0OtUotd4iudcZnmUB5t/view?usp=sharing" TargetMode="External"/><Relationship Id="rId384" Type="http://schemas.openxmlformats.org/officeDocument/2006/relationships/hyperlink" Target="https://docs.google.com/spreadsheets/d/1XTibonuPGwZi0AdDED1ZVDrM8Na53zcjw_FbQUeIPTg/edit?gid=0" TargetMode="External"/><Relationship Id="rId202" Type="http://schemas.openxmlformats.org/officeDocument/2006/relationships/hyperlink" Target="https://drive.google.com/file/d/1WwLY1lQi2XiSE0OtUotd4iudcZnmUB5t/view?usp=sharing" TargetMode="External"/><Relationship Id="rId223" Type="http://schemas.openxmlformats.org/officeDocument/2006/relationships/hyperlink" Target="https://drive.google.com/file/d/1WwLY1lQi2XiSE0OtUotd4iudcZnmUB5t/view?usp=sharing" TargetMode="External"/><Relationship Id="rId244" Type="http://schemas.openxmlformats.org/officeDocument/2006/relationships/hyperlink" Target="https://drive.google.com/file/d/1WwLY1lQi2XiSE0OtUotd4iudcZnmUB5t/view?usp=sharing" TargetMode="External"/><Relationship Id="rId18" Type="http://schemas.openxmlformats.org/officeDocument/2006/relationships/hyperlink" Target="https://docs.google.com/spreadsheets/d/1yfZshsuHwQTjJ0Yp7TX2z5WYsj4SpqNJ1d-HVo4ALEs/edit?usp=sharing" TargetMode="External"/><Relationship Id="rId39" Type="http://schemas.openxmlformats.org/officeDocument/2006/relationships/hyperlink" Target="https://www.stuermer-machines.com/search/productdetail/?tx_stuermerprodukte_pi1%5Baction%5D=show&amp;tx_stuermerprodukte_pi1%5Bcontroller%5D=Produkt&amp;tx_stuermerprodukte_pi1%5Bprodukt%5D=5903201&amp;tx_stuermerprodukte_pi1%5Btaxo%5D=10006&amp;tx_stuermerprodukte_pi1%5Bsearch%5D=1&amp;tx_stuermerprodukte_pi1%5BL%5D=1&amp;cHash=b0757ee58159d1cfae7a7b08d3aa2b16" TargetMode="External"/><Relationship Id="rId265" Type="http://schemas.openxmlformats.org/officeDocument/2006/relationships/hyperlink" Target="https://drive.google.com/open?id=1iN7t04XwEVXBh6PDrAorf84P-XoxEAqZ&amp;usp=drive_copy" TargetMode="External"/><Relationship Id="rId286" Type="http://schemas.openxmlformats.org/officeDocument/2006/relationships/hyperlink" Target="https://docs.google.com/spreadsheets/d/1jT8IzJpKMoKh70qL2UU3p9CI5H_pNbb_c2JkHqIZMJU/edit?gid=0" TargetMode="External"/><Relationship Id="rId50" Type="http://schemas.openxmlformats.org/officeDocument/2006/relationships/hyperlink" Target="https://docs.google.com/spreadsheets/d/1yJwbIr50-f5IhumqeAKw0G3TvgScThsg3YuYbuAkT70/edit?usp=sharing" TargetMode="External"/><Relationship Id="rId104" Type="http://schemas.openxmlformats.org/officeDocument/2006/relationships/hyperlink" Target="https://docs.google.com/spreadsheets/d/1Dl8E7xJhCyMwieHb9lkYZIX6GA_tcQh4PoruDZO13Es/edit?gid=0" TargetMode="External"/><Relationship Id="rId125" Type="http://schemas.openxmlformats.org/officeDocument/2006/relationships/hyperlink" Target="https://www.aslak.es/madera/5900007-caballete-extensible-tab-1300.html" TargetMode="External"/><Relationship Id="rId146" Type="http://schemas.openxmlformats.org/officeDocument/2006/relationships/hyperlink" Target="https://drive.google.com/drive/folders/1IxaMRfba2q7yH9Idq5PNUthUC72abGn9" TargetMode="External"/><Relationship Id="rId167" Type="http://schemas.openxmlformats.org/officeDocument/2006/relationships/hyperlink" Target="https://docs.google.com/spreadsheets/d/1-kc9AT0ekJZVI3oTgww-tDjycMWRag4tUccBs4XT-Hg/edit?gid=0" TargetMode="External"/><Relationship Id="rId188" Type="http://schemas.openxmlformats.org/officeDocument/2006/relationships/hyperlink" Target="https://store.ferrindustrial.com.pe/producto/compas-exterior-de-12-302466-vogel-germany/" TargetMode="External"/><Relationship Id="rId311" Type="http://schemas.openxmlformats.org/officeDocument/2006/relationships/hyperlink" Target="https://drive.google.com/drive/folders/112njqvEYuz8fAxlHSUhubU5gdMWfdf2p" TargetMode="External"/><Relationship Id="rId332" Type="http://schemas.openxmlformats.org/officeDocument/2006/relationships/hyperlink" Target="https://docs.google.com/spreadsheets/d/1Qjn74Ib8u9R8tJ5-Ce2b0SwkhKNZpr_uaqw4R9ZzHoM/edit?gid=0" TargetMode="External"/><Relationship Id="rId353" Type="http://schemas.openxmlformats.org/officeDocument/2006/relationships/hyperlink" Target="https://docs.google.com/spreadsheets/d/1UPFtvjN0Kb_uCZzfEBHN-iV4CIxhInh--31DS9pv7mE/edit?gid=0" TargetMode="External"/><Relationship Id="rId374" Type="http://schemas.openxmlformats.org/officeDocument/2006/relationships/hyperlink" Target="https://docs.google.com/spreadsheets/d/1qsed-ooMM-G51R1JsLleTGsDShFGQ6IjIgGx1Ea47EM/edit?gid=0" TargetMode="External"/><Relationship Id="rId395" Type="http://schemas.openxmlformats.org/officeDocument/2006/relationships/hyperlink" Target="https://docs.google.com/spreadsheets/d/19fAJN4GCzKGbEfaBKx2hyDffLdylENYTZ4lnco_pQNw/edit?gid=0" TargetMode="External"/><Relationship Id="rId71" Type="http://schemas.openxmlformats.org/officeDocument/2006/relationships/hyperlink" Target="https://docs.google.com/spreadsheets/d/1fBrN0C8ZU_sjzOeRfWzebHCXeFJTwi5KGOOxMy5Dypg/edit?gid=0" TargetMode="External"/><Relationship Id="rId92" Type="http://schemas.openxmlformats.org/officeDocument/2006/relationships/hyperlink" Target="https://docs.google.com/spreadsheets/d/1hFi_RPF5nVaNVp47WF-Vl8j5DSr_tVZrTfSQBEDKNkI/edit?gid=0" TargetMode="External"/><Relationship Id="rId213" Type="http://schemas.openxmlformats.org/officeDocument/2006/relationships/hyperlink" Target="https://drive.google.com/file/d/1WwLY1lQi2XiSE0OtUotd4iudcZnmUB5t/view?usp=sharing" TargetMode="External"/><Relationship Id="rId234" Type="http://schemas.openxmlformats.org/officeDocument/2006/relationships/hyperlink" Target="https://cahema.pe/piedra-de-afilar/19249-piedra-de-afilar-6-x-2-x-1-toolcraft-tc5082-7501892864945.html" TargetMode="External"/><Relationship Id="rId2" Type="http://schemas.openxmlformats.org/officeDocument/2006/relationships/hyperlink" Target="https://docs.google.com/spreadsheets/d/1m0XUyo6H-YHIwm-JawEbLnxdQgU4gDApt1rpXCJkbqs/edit?gid=602588258" TargetMode="External"/><Relationship Id="rId29" Type="http://schemas.openxmlformats.org/officeDocument/2006/relationships/hyperlink" Target="https://drive.google.com/file/d/1WwLY1lQi2XiSE0OtUotd4iudcZnmUB5t/view?usp=sharing" TargetMode="External"/><Relationship Id="rId255" Type="http://schemas.openxmlformats.org/officeDocument/2006/relationships/hyperlink" Target="https://drive.google.com/file/d/1WwLY1lQi2XiSE0OtUotd4iudcZnmUB5t/view?usp=sharing" TargetMode="External"/><Relationship Id="rId276" Type="http://schemas.openxmlformats.org/officeDocument/2006/relationships/hyperlink" Target="https://cl.rsdelivers.com/product/bahco/620-6/juego-de-destornilladores-aislados-bahco-de-6-tipo/6880091" TargetMode="External"/><Relationship Id="rId297" Type="http://schemas.openxmlformats.org/officeDocument/2006/relationships/hyperlink" Target="https://drive.google.com/file/d/1WwLY1lQi2XiSE0OtUotd4iudcZnmUB5t/view?usp=sharing" TargetMode="External"/><Relationship Id="rId40" Type="http://schemas.openxmlformats.org/officeDocument/2006/relationships/hyperlink" Target="https://drive.google.com/drive/folders/1PmOTJzH5645xfSXfgfA4AXtLAG2lKS6o?usp=drive_link" TargetMode="External"/><Relationship Id="rId115" Type="http://schemas.openxmlformats.org/officeDocument/2006/relationships/hyperlink" Target="https://drive.google.com/file/d/1WwLY1lQi2XiSE0OtUotd4iudcZnmUB5t/view?usp=sharing" TargetMode="External"/><Relationship Id="rId136" Type="http://schemas.openxmlformats.org/officeDocument/2006/relationships/hyperlink" Target="https://docs.google.com/spreadsheets/d/1w3x3EXB0MCnqeH9rJet96cxPLvRM1X_8zkj1n02stQw/edit?gid=0" TargetMode="External"/><Relationship Id="rId157" Type="http://schemas.openxmlformats.org/officeDocument/2006/relationships/hyperlink" Target="https://drive.google.com/drive/folders/1ooXbTCVNKw1ReJV_dfn-eEi9YV9Ny6iX?usp=drive_link" TargetMode="External"/><Relationship Id="rId178" Type="http://schemas.openxmlformats.org/officeDocument/2006/relationships/hyperlink" Target="https://drive.google.com/file/d/1WwLY1lQi2XiSE0OtUotd4iudcZnmUB5t/view?usp=sharing" TargetMode="External"/><Relationship Id="rId301" Type="http://schemas.openxmlformats.org/officeDocument/2006/relationships/hyperlink" Target="https://drive.google.com/file/d/1WwLY1lQi2XiSE0OtUotd4iudcZnmUB5t/view?usp=sharing" TargetMode="External"/><Relationship Id="rId322" Type="http://schemas.openxmlformats.org/officeDocument/2006/relationships/hyperlink" Target="https://drive.google.com/drive/folders/1DOZXPhxoXqvASSqay7XFzxxrfn-JcrZO?usp=drive_link" TargetMode="External"/><Relationship Id="rId343" Type="http://schemas.openxmlformats.org/officeDocument/2006/relationships/hyperlink" Target="https://niko.pe/producto/guantes-de-cuero-cromo-reforzado/?srsltid=AfmBOopRHbyt8ajM5zWlaLSf6quYZp83W0NSU6cej72cUVg9noqcYjtW" TargetMode="External"/><Relationship Id="rId364" Type="http://schemas.openxmlformats.org/officeDocument/2006/relationships/hyperlink" Target="https://docs.google.com/spreadsheets/d/1oSsS2O11v-8gxYfN0r0ZPThF9fs_hN0fF3vGp5HvBOI/edit?gid=0" TargetMode="External"/><Relationship Id="rId61" Type="http://schemas.openxmlformats.org/officeDocument/2006/relationships/hyperlink" Target="https://drive.google.com/open?id=1Nzw-fL85paF5mcUL3p6ZBqHESpYvAIp3&amp;usp=drive_copy" TargetMode="External"/><Relationship Id="rId82" Type="http://schemas.openxmlformats.org/officeDocument/2006/relationships/hyperlink" Target="https://drive.google.com/file/d/1WwLY1lQi2XiSE0OtUotd4iudcZnmUB5t/view?usp=sharing" TargetMode="External"/><Relationship Id="rId199" Type="http://schemas.openxmlformats.org/officeDocument/2006/relationships/hyperlink" Target="https://docs.google.com/spreadsheets/d/1mjYRBflbyZiqGH73TSxhhsU00YvJXzV8XHNY08QESsY/edit?gid=0" TargetMode="External"/><Relationship Id="rId203" Type="http://schemas.openxmlformats.org/officeDocument/2006/relationships/hyperlink" Target="https://docs.google.com/spreadsheets/d/1MK5lgYdB3yTmrQvwLRguPJ8e8qrYo5UYnp5an0FVnIw/edit?gid=0" TargetMode="External"/><Relationship Id="rId385" Type="http://schemas.openxmlformats.org/officeDocument/2006/relationships/hyperlink" Target="https://www.sony.com.pe/electronics/grabadores-voz/icd-ux570-series" TargetMode="External"/><Relationship Id="rId19" Type="http://schemas.openxmlformats.org/officeDocument/2006/relationships/hyperlink" Target="https://www.bosch-professional.com/cl/es/products/gsr-185-li-06019K30E0" TargetMode="External"/><Relationship Id="rId224" Type="http://schemas.openxmlformats.org/officeDocument/2006/relationships/hyperlink" Target="https://docs.google.com/spreadsheets/d/1EdDXPf93xoRZTrltOCUJMK_9w__wG60-bYOjTyer4Mc/edit?gid=0" TargetMode="External"/><Relationship Id="rId245" Type="http://schemas.openxmlformats.org/officeDocument/2006/relationships/hyperlink" Target="https://docs.google.com/spreadsheets/d/1jvJ0zbeJ8dcdAoHwkNuEgrqQ_5p9Y-P3DREjrGpGc3w/edit?gid=0" TargetMode="External"/><Relationship Id="rId266" Type="http://schemas.openxmlformats.org/officeDocument/2006/relationships/hyperlink" Target="https://drive.google.com/file/d/1WwLY1lQi2XiSE0OtUotd4iudcZnmUB5t/view?usp=sharing" TargetMode="External"/><Relationship Id="rId287" Type="http://schemas.openxmlformats.org/officeDocument/2006/relationships/hyperlink" Target="https://cahema.pe/llaves-allen/16092-juego-de-15-llaves-allen-hexagonales-niquelada-041101-irimo.html" TargetMode="External"/><Relationship Id="rId30" Type="http://schemas.openxmlformats.org/officeDocument/2006/relationships/hyperlink" Target="https://docs.google.com/spreadsheets/d/1nPMW8LIZ4zOro-j-HTN6VWoeUrucpV04V5xKxYPsSkU/edit?gid=0" TargetMode="External"/><Relationship Id="rId105" Type="http://schemas.openxmlformats.org/officeDocument/2006/relationships/hyperlink" Target="https://docs.google.com/spreadsheets/d/1w2Soqgpp-UNY3Onqy78_JmDsFa_CpNfhVoNlwWZvbNo/edit?gid=0" TargetMode="External"/><Relationship Id="rId126" Type="http://schemas.openxmlformats.org/officeDocument/2006/relationships/hyperlink" Target="https://drive.google.com/drive/folders/1lOL6skNDkDb3hVKMjEWJcLQpZPBRhpCY?usp=drive_link" TargetMode="External"/><Relationship Id="rId147" Type="http://schemas.openxmlformats.org/officeDocument/2006/relationships/hyperlink" Target="https://drive.google.com/file/d/1WwLY1lQi2XiSE0OtUotd4iudcZnmUB5t/view?usp=sharing" TargetMode="External"/><Relationship Id="rId168" Type="http://schemas.openxmlformats.org/officeDocument/2006/relationships/hyperlink" Target="https://es.rs-online.com/web/p/calibres-de-altura/0390942" TargetMode="External"/><Relationship Id="rId312" Type="http://schemas.openxmlformats.org/officeDocument/2006/relationships/hyperlink" Target="https://drive.google.com/file/d/1h4VAVdnpYwVJWfv9Am07uX69gQjmocj4/view?usp=sharing" TargetMode="External"/><Relationship Id="rId333" Type="http://schemas.openxmlformats.org/officeDocument/2006/relationships/hyperlink" Target="https://medid.datoproducto.com/producto/1080622/1015362/cutter-medid-recarga-automatica-18-mm-5-cuchillas" TargetMode="External"/><Relationship Id="rId354" Type="http://schemas.openxmlformats.org/officeDocument/2006/relationships/hyperlink" Target="https://drive.google.com/drive/folders/1bxviWlv7UHnzj2kbHw92kDbaEiQDmY8F?usp=drive_link" TargetMode="External"/><Relationship Id="rId51" Type="http://schemas.openxmlformats.org/officeDocument/2006/relationships/hyperlink" Target="https://www.bernardo.at/es/shop/Cepilladora-y-regruesadora-FS-310-PS--230-V~p86126" TargetMode="External"/><Relationship Id="rId72" Type="http://schemas.openxmlformats.org/officeDocument/2006/relationships/hyperlink" Target="https://www.bosch-professional.com/pe/es/products/gof-1600-ce-06016240E0" TargetMode="External"/><Relationship Id="rId93" Type="http://schemas.openxmlformats.org/officeDocument/2006/relationships/hyperlink" Target="https://www.dewalt.es/producto/dw721kn-qs/sierra-de-brazo-radial-2000w-2-hp-o300mm-monofasica-prof-90mm" TargetMode="External"/><Relationship Id="rId189" Type="http://schemas.openxmlformats.org/officeDocument/2006/relationships/hyperlink" Target="https://drive.google.com/open?id=1gf2us6nsXVj5eQ_KoY8znRmWhJsnal4R&amp;usp=drive_copy" TargetMode="External"/><Relationship Id="rId375" Type="http://schemas.openxmlformats.org/officeDocument/2006/relationships/hyperlink" Target="https://www.canon.es/video-cameras/legria-hf-g70/specifications/" TargetMode="External"/><Relationship Id="rId396" Type="http://schemas.openxmlformats.org/officeDocument/2006/relationships/hyperlink" Target="https://inquirecontent2.ingrammicro.com/Manufacturer-Brochure/1086740376.pdf" TargetMode="External"/><Relationship Id="rId3" Type="http://schemas.openxmlformats.org/officeDocument/2006/relationships/hyperlink" Target="https://drive.google.com/drive/folders/1_gy-gv57lgGDP_lnq40wHkg8nqKvQGcH?usp=drive_link" TargetMode="External"/><Relationship Id="rId214" Type="http://schemas.openxmlformats.org/officeDocument/2006/relationships/hyperlink" Target="https://docs.google.com/spreadsheets/d/1Mjlxf-6YdkCUKf_1us5S_UjhA47aFEBbbmOYxQNzcIY/edit?gid=0" TargetMode="External"/><Relationship Id="rId235" Type="http://schemas.openxmlformats.org/officeDocument/2006/relationships/hyperlink" Target="https://drive.google.com/drive/folders/1IiWNsZUbUvd4BkBCp9-zQaO6_X-xRCRL?usp=drive_link" TargetMode="External"/><Relationship Id="rId256" Type="http://schemas.openxmlformats.org/officeDocument/2006/relationships/hyperlink" Target="https://docs.google.com/spreadsheets/d/1Zaj_LqqblE9ljm9Vk4bjin8k36q5v-2KIbGMNkYHJhU/edit?gid=0" TargetMode="External"/><Relationship Id="rId277" Type="http://schemas.openxmlformats.org/officeDocument/2006/relationships/hyperlink" Target="https://drive.google.com/open?id=1-GGI8kqR-rRC6WuICVkjA-Koe5bEgHHx&amp;usp=drive_copy" TargetMode="External"/><Relationship Id="rId298" Type="http://schemas.openxmlformats.org/officeDocument/2006/relationships/hyperlink" Target="https://docs.google.com/spreadsheets/d/1MWBPH7erx5wXodEF8W533U8TUk37cJpLz5f6iz6zsEI/edit?gid=0" TargetMode="External"/><Relationship Id="rId400" Type="http://schemas.openxmlformats.org/officeDocument/2006/relationships/hyperlink" Target="https://drive.google.com/open?id=1jq2J8KWpGupz3iRcXeTyvnPIScI5k6T8&amp;usp=drive_copy" TargetMode="External"/><Relationship Id="rId116" Type="http://schemas.openxmlformats.org/officeDocument/2006/relationships/hyperlink" Target="https://docs.google.com/spreadsheets/d/1uFfsnodYxFbE8mD0uwuJUVEhkIRmSs2u-cR0A--HctE/edit?gid=0" TargetMode="External"/><Relationship Id="rId137" Type="http://schemas.openxmlformats.org/officeDocument/2006/relationships/hyperlink" Target="https://cahema.pe/discos-de-sierra/1236-disco-sierra-12-adaptadores-80-dientes-aluminio-885911493901.html" TargetMode="External"/><Relationship Id="rId158" Type="http://schemas.openxmlformats.org/officeDocument/2006/relationships/hyperlink" Target="https://drive.google.com/file/d/1WwLY1lQi2XiSE0OtUotd4iudcZnmUB5t/view?usp=sharing" TargetMode="External"/><Relationship Id="rId302" Type="http://schemas.openxmlformats.org/officeDocument/2006/relationships/hyperlink" Target="https://docs.google.com/spreadsheets/d/1rOhjeF4AGPJcYdyQgKe7-X6otyVtMvB0Vebglf-CVLs/edit?gid=0" TargetMode="External"/><Relationship Id="rId323" Type="http://schemas.openxmlformats.org/officeDocument/2006/relationships/hyperlink" Target="https://drive.google.com/file/d/1_UHuH37ATrm911Ohx4aL_9Z3m--yiXpV/view?usp=sharing" TargetMode="External"/><Relationship Id="rId344" Type="http://schemas.openxmlformats.org/officeDocument/2006/relationships/hyperlink" Target="https://drive.google.com/open?id=1I6xZvQgmHGDqg6sm-jmu5OXb46eNFUXS&amp;usp=drive_copy" TargetMode="External"/><Relationship Id="rId20" Type="http://schemas.openxmlformats.org/officeDocument/2006/relationships/hyperlink" Target="https://drive.google.com/drive/folders/1pfnr3tGBBvj_mfxSu4thEHPfK8WnWnub" TargetMode="External"/><Relationship Id="rId41" Type="http://schemas.openxmlformats.org/officeDocument/2006/relationships/hyperlink" Target="https://drive.google.com/file/d/1WwLY1lQi2XiSE0OtUotd4iudcZnmUB5t/view?usp=sharing" TargetMode="External"/><Relationship Id="rId62" Type="http://schemas.openxmlformats.org/officeDocument/2006/relationships/hyperlink" Target="https://drive.google.com/file/d/1WwLY1lQi2XiSE0OtUotd4iudcZnmUB5t/view?usp=sharing" TargetMode="External"/><Relationship Id="rId83" Type="http://schemas.openxmlformats.org/officeDocument/2006/relationships/hyperlink" Target="https://docs.google.com/spreadsheets/d/1oDBt19xTQkroTxJxCvK_Vmwk6-rxiHzHbXTJSyqdsI0/edit?gid=0" TargetMode="External"/><Relationship Id="rId179" Type="http://schemas.openxmlformats.org/officeDocument/2006/relationships/hyperlink" Target="https://docs.google.com/spreadsheets/d/1Y2NIXofAx2-9N12wbeNtZuDGMz_lzDWt0UmX-80dagU/edit?gid=0" TargetMode="External"/><Relationship Id="rId365" Type="http://schemas.openxmlformats.org/officeDocument/2006/relationships/hyperlink" Target="https://drive.google.com/open?id=1tRMlZKzeB4He2_Dl5MKQlkc7UnAibI34&amp;usp=drive_copy" TargetMode="External"/><Relationship Id="rId386" Type="http://schemas.openxmlformats.org/officeDocument/2006/relationships/hyperlink" Target="https://drive.google.com/drive/folders/1NCq0Tels1zAWWXSbmItHjfPPk5Ab4d-x?usp=drive_link" TargetMode="External"/><Relationship Id="rId190" Type="http://schemas.openxmlformats.org/officeDocument/2006/relationships/hyperlink" Target="https://drive.google.com/file/d/1WwLY1lQi2XiSE0OtUotd4iudcZnmUB5t/view?usp=sharing" TargetMode="External"/><Relationship Id="rId204" Type="http://schemas.openxmlformats.org/officeDocument/2006/relationships/hyperlink" Target="https://www.amazon.es/Bosch-2607010629-Hojas-Sierra-Piezas/dp/B003TWP1QO?th=1" TargetMode="External"/><Relationship Id="rId225" Type="http://schemas.openxmlformats.org/officeDocument/2006/relationships/hyperlink" Target="https://drive.google.com/file/d/1WwLY1lQi2XiSE0OtUotd4iudcZnmUB5t/view?usp=sharing" TargetMode="External"/><Relationship Id="rId246" Type="http://schemas.openxmlformats.org/officeDocument/2006/relationships/hyperlink" Target="https://store.ferrindustrial.com.pe/producto/transportador-de-angulos-inox-180o-de-80mm-x-150mm-322541-vogel-germany/" TargetMode="External"/><Relationship Id="rId267" Type="http://schemas.openxmlformats.org/officeDocument/2006/relationships/hyperlink" Target="https://docs.google.com/spreadsheets/d/1NfnwrBZBy3KyyBTL1Su3IUrznfjwZ73Vde8kdtqZPsU/edit?gid=0" TargetMode="External"/><Relationship Id="rId288" Type="http://schemas.openxmlformats.org/officeDocument/2006/relationships/hyperlink" Target="https://drive.google.com/open?id=1RYi_TSUux3JOCRXsMtdBwd_wphqC93bq&amp;usp=drive_copy" TargetMode="External"/><Relationship Id="rId106" Type="http://schemas.openxmlformats.org/officeDocument/2006/relationships/hyperlink" Target="https://drive.google.com/drive/folders/15rACxchwrF55G-AO6hYBBy4ZjBICovxp" TargetMode="External"/><Relationship Id="rId127" Type="http://schemas.openxmlformats.org/officeDocument/2006/relationships/hyperlink" Target="https://drive.google.com/file/d/1WwLY1lQi2XiSE0OtUotd4iudcZnmUB5t/view?usp=sharing" TargetMode="External"/><Relationship Id="rId313" Type="http://schemas.openxmlformats.org/officeDocument/2006/relationships/hyperlink" Target="https://docs.google.com/spreadsheets/d/13bvl3vSi-jdBzJWSNbuenVX9PrPA-ZnxJ4R9fdgTSTk/edit?gid=0" TargetMode="External"/><Relationship Id="rId10" Type="http://schemas.openxmlformats.org/officeDocument/2006/relationships/hyperlink" Target="https://docs.google.com/spreadsheets/d/165FdqlEGX_DLQq2OqzHShu87hvwb1f-19FeKpThMbEk/edit?gid=0" TargetMode="External"/><Relationship Id="rId31" Type="http://schemas.openxmlformats.org/officeDocument/2006/relationships/hyperlink" Target="https://www.aslak.es/herramientas-electricas/afiladora-con-agua-universal-nts-256.html" TargetMode="External"/><Relationship Id="rId52" Type="http://schemas.openxmlformats.org/officeDocument/2006/relationships/hyperlink" Target="https://drive.google.com/drive/folders/1EEMVucHXXbNcq0PGo34q9W-ecH6PSJlh?usp=drive_link" TargetMode="External"/><Relationship Id="rId73" Type="http://schemas.openxmlformats.org/officeDocument/2006/relationships/hyperlink" Target="https://drive.google.com/drive/folders/1Bx7rKdopcwgcAKIPpmuArq4dgnThOqYY?usp=drive_link" TargetMode="External"/><Relationship Id="rId94" Type="http://schemas.openxmlformats.org/officeDocument/2006/relationships/hyperlink" Target="https://drive.google.com/drive/folders/1JUcQa8vaTYWRgxAvC-wTRpnLsLy0pSgE?usp=drive_link" TargetMode="External"/><Relationship Id="rId148" Type="http://schemas.openxmlformats.org/officeDocument/2006/relationships/hyperlink" Target="https://docs.google.com/spreadsheets/d/1AgAjAd1JJratMvxWWVgav3oDKGbZ4pHGNI2xScQmtP0/edit?gid=0" TargetMode="External"/><Relationship Id="rId169" Type="http://schemas.openxmlformats.org/officeDocument/2006/relationships/hyperlink" Target="https://drive.google.com/drive/folders/1MwD0fFjY7Efs7KtN68s6s8Fqs7eTLLpo?usp=drive_link" TargetMode="External"/><Relationship Id="rId334" Type="http://schemas.openxmlformats.org/officeDocument/2006/relationships/hyperlink" Target="https://drive.google.com/open?id=1zZHULeE8R1cwCojjeowTPj2zmoVCEZpP&amp;usp=drive_copy" TargetMode="External"/><Relationship Id="rId355" Type="http://schemas.openxmlformats.org/officeDocument/2006/relationships/hyperlink" Target="https://drive.google.com/file/d/1WwLY1lQi2XiSE0OtUotd4iudcZnmUB5t/view?usp=sharing" TargetMode="External"/><Relationship Id="rId376" Type="http://schemas.openxmlformats.org/officeDocument/2006/relationships/hyperlink" Target="https://drive.google.com/file/d/1o6a6_S0N8oKdjsL4lmf46th5VPQsGwZc/view?usp=sharing" TargetMode="External"/><Relationship Id="rId397" Type="http://schemas.openxmlformats.org/officeDocument/2006/relationships/hyperlink" Target="https://drive.google.com/file/d/1gVHd7eSNvjmDXUMFxdFWQy6anW_O3NP3/view?usp=sharing" TargetMode="External"/><Relationship Id="rId4" Type="http://schemas.openxmlformats.org/officeDocument/2006/relationships/hyperlink" Target="https://drive.google.com/drive/folders/1u7i3dU8d977z103vBZKZVuuqa0v--fES" TargetMode="External"/><Relationship Id="rId180" Type="http://schemas.openxmlformats.org/officeDocument/2006/relationships/hyperlink" Target="https://www.wayfair.com/storage-organization/pdp/stalwart-hole-saw-set-16-piece-kit-with-12-saws-5-inch-hex-key-wrench-drive-plate-and-storage-case-tcwj1151.html" TargetMode="External"/><Relationship Id="rId215" Type="http://schemas.openxmlformats.org/officeDocument/2006/relationships/hyperlink" Target="https://www.truper.com/ficha_tecnica/Linterna-para-cabeza-4-pilas-AA-800-lumenes-1-LED-252667.html?code=11853" TargetMode="External"/><Relationship Id="rId236" Type="http://schemas.openxmlformats.org/officeDocument/2006/relationships/hyperlink" Target="https://drive.google.com/file/d/1WwLY1lQi2XiSE0OtUotd4iudcZnmUB5t/view?usp=sharing" TargetMode="External"/><Relationship Id="rId257" Type="http://schemas.openxmlformats.org/officeDocument/2006/relationships/hyperlink" Target="https://drive.google.com/open?id=1igW45L9-p9JSswFWErEFR-jV45YtKmoW&amp;usp=drive_copy" TargetMode="External"/><Relationship Id="rId278" Type="http://schemas.openxmlformats.org/officeDocument/2006/relationships/hyperlink" Target="https://drive.google.com/file/d/1WwLY1lQi2XiSE0OtUotd4iudcZnmUB5t/view?usp=sharing" TargetMode="External"/><Relationship Id="rId401" Type="http://schemas.openxmlformats.org/officeDocument/2006/relationships/hyperlink" Target="https://drive.google.com/file/d/1WwLY1lQi2XiSE0OtUotd4iudcZnmUB5t/view?usp=sharing" TargetMode="External"/><Relationship Id="rId303" Type="http://schemas.openxmlformats.org/officeDocument/2006/relationships/hyperlink" Target="https://drive.google.com/open?id=1U7fO5sehEGDl1srjk4F6Aen4Az9aPYAr&amp;usp=drive_copy" TargetMode="External"/><Relationship Id="rId42" Type="http://schemas.openxmlformats.org/officeDocument/2006/relationships/hyperlink" Target="https://docs.google.com/spreadsheets/d/1cMpxS8wyXCnCR9f7Sxe8jp6k0dK03tTfwcrJDU53hto/edit?usp=sharing" TargetMode="External"/><Relationship Id="rId84" Type="http://schemas.openxmlformats.org/officeDocument/2006/relationships/hyperlink" Target="https://www.aslak.es/herramientas-electricas/sierra-de-cinta-hbs-431-ie2-230-v.html" TargetMode="External"/><Relationship Id="rId138" Type="http://schemas.openxmlformats.org/officeDocument/2006/relationships/hyperlink" Target="https://drive.google.com/drive/folders/1OIA19UVIhgRMXQvLLX_4GI0wrKvdfOjx?usp=drive_link" TargetMode="External"/><Relationship Id="rId345" Type="http://schemas.openxmlformats.org/officeDocument/2006/relationships/hyperlink" Target="https://drive.google.com/file/d/1WwLY1lQi2XiSE0OtUotd4iudcZnmUB5t/view?usp=sharing" TargetMode="External"/><Relationship Id="rId387" Type="http://schemas.openxmlformats.org/officeDocument/2006/relationships/hyperlink" Target="https://drive.google.com/file/d/1gVHd7eSNvjmDXUMFxdFWQy6anW_O3NP3/view?usp=sharing" TargetMode="External"/><Relationship Id="rId191" Type="http://schemas.openxmlformats.org/officeDocument/2006/relationships/hyperlink" Target="https://docs.google.com/spreadsheets/d/1h_6-s8gM6lPK2JXc8nZXErQ1znZvinlB8QhYc9VcFz8/edit?gid=0" TargetMode="External"/><Relationship Id="rId205" Type="http://schemas.openxmlformats.org/officeDocument/2006/relationships/hyperlink" Target="https://drive.google.com/open?id=1-a-dC7e9zQ1_q34vKqkR1vljrPDxN-Zs&amp;usp=drive_copy" TargetMode="External"/><Relationship Id="rId247" Type="http://schemas.openxmlformats.org/officeDocument/2006/relationships/hyperlink" Target="https://drive.google.com/open?id=1u8g7JvbAE35Khx-nfO16_9EaYaewC9qF&amp;usp=drive_copy" TargetMode="External"/><Relationship Id="rId107" Type="http://schemas.openxmlformats.org/officeDocument/2006/relationships/hyperlink" Target="https://drive.google.com/file/d/1WwLY1lQi2XiSE0OtUotd4iudcZnmUB5t/view?usp=sharing" TargetMode="External"/><Relationship Id="rId289" Type="http://schemas.openxmlformats.org/officeDocument/2006/relationships/hyperlink" Target="https://drive.google.com/file/d/1gVHd7eSNvjmDXUMFxdFWQy6anW_O3NP3/view?usp=sharing" TargetMode="External"/><Relationship Id="rId11" Type="http://schemas.openxmlformats.org/officeDocument/2006/relationships/hyperlink" Target="https://www.alibaba.com/product-detail/C02-Laser-Cutter-1300x900-Lazer-Cut_1600313544851.html?utm_source=chatgpt.com" TargetMode="External"/><Relationship Id="rId53" Type="http://schemas.openxmlformats.org/officeDocument/2006/relationships/hyperlink" Target="https://drive.google.com/file/d/1WwLY1lQi2XiSE0OtUotd4iudcZnmUB5t/view?usp=sharing" TargetMode="External"/><Relationship Id="rId149" Type="http://schemas.openxmlformats.org/officeDocument/2006/relationships/hyperlink" Target="https://es.farnell.com/en-ES/multicomp-pro/mp780997/laser-distance-meter-50m-lcd-2xaaa/dp/4179002?srsltid=AfmBOoreugdqCmy_36Zv7n25NHkQ1r4ejExpmv-bbTJmh6vQ2h2UsHWb" TargetMode="External"/><Relationship Id="rId314" Type="http://schemas.openxmlformats.org/officeDocument/2006/relationships/hyperlink" Target="https://wurthlac.com/product/150126/48-Medium-Duty-Bar-Clamp-with-Wood-Handle-7-Throat-Depth" TargetMode="External"/><Relationship Id="rId356" Type="http://schemas.openxmlformats.org/officeDocument/2006/relationships/hyperlink" Target="https://docs.google.com/spreadsheets/d/15OhuXUbkL1liUJKbmXqHRfF1oU8EXz4xYleDfZUfloY/edit?gid=0" TargetMode="External"/><Relationship Id="rId398" Type="http://schemas.openxmlformats.org/officeDocument/2006/relationships/hyperlink" Target="https://docs.google.com/spreadsheets/d/1kHCZP8I046Vk1IcXQ71qkDS-fG_sp6GNb9pBup2vdaI/edit?usp=sharing" TargetMode="External"/><Relationship Id="rId95" Type="http://schemas.openxmlformats.org/officeDocument/2006/relationships/hyperlink" Target="https://drive.google.com/file/d/1WwLY1lQi2XiSE0OtUotd4iudcZnmUB5t/view?usp=sharing" TargetMode="External"/><Relationship Id="rId160" Type="http://schemas.openxmlformats.org/officeDocument/2006/relationships/hyperlink" Target="https://drive.google.com/file/d/1mAbNESsfnkT2ppW7stcYVdeUB1G7FCQi/view?usp=sharing" TargetMode="External"/><Relationship Id="rId216" Type="http://schemas.openxmlformats.org/officeDocument/2006/relationships/hyperlink" Target="https://drive.google.com/open?id=18WNHA0ntY5MbseTzz8w0xECkMSZmmAsE&amp;usp=drive_copy" TargetMode="External"/><Relationship Id="rId258" Type="http://schemas.openxmlformats.org/officeDocument/2006/relationships/hyperlink" Target="https://drive.google.com/file/d/1h4VAVdnpYwVJWfv9Am07uX69gQjmocj4/view?usp=sharing" TargetMode="External"/><Relationship Id="rId22" Type="http://schemas.openxmlformats.org/officeDocument/2006/relationships/hyperlink" Target="https://docs.google.com/spreadsheets/d/12xAnidXq2Fl5xlUnyy5gYGRNUKAIFs40hEv0vBCn9eE/edit?usp=sharing" TargetMode="External"/><Relationship Id="rId64" Type="http://schemas.openxmlformats.org/officeDocument/2006/relationships/hyperlink" Target="https://miltonindustries.com/collections/air-blow-guns/products/colorfitr-by-milton-s-148tc-1-4-npt-lever-blow-gun-tool-rubber-tip-nozzle-blue?_pos=3&amp;_fid=511a843e2&amp;_ss=c" TargetMode="External"/><Relationship Id="rId118" Type="http://schemas.openxmlformats.org/officeDocument/2006/relationships/hyperlink" Target="https://drive.google.com/open?id=1lfTHYkD4u96jOHaKcWPtv1e__H75CYAh&amp;usp=drive_copy" TargetMode="External"/><Relationship Id="rId325" Type="http://schemas.openxmlformats.org/officeDocument/2006/relationships/hyperlink" Target="https://sodimac.falabella.com.pe/sodimac-pe/product/113326372/Brocha-TUMI-Multiuso-5%27%27/113326374?exp=sodimac" TargetMode="External"/><Relationship Id="rId367" Type="http://schemas.openxmlformats.org/officeDocument/2006/relationships/hyperlink" Target="https://docs.google.com/spreadsheets/d/1GzhtSXk2eOX3AAbSFEiE7O7tec7_pziTzIHRBuI40l8/edit?gid=0" TargetMode="External"/><Relationship Id="rId171" Type="http://schemas.openxmlformats.org/officeDocument/2006/relationships/hyperlink" Target="https://docs.google.com/spreadsheets/d/1QCQ2nHAtcPUEI8j76jI3omj-SAKh3OO0owGdBUudV4o/edit?gid=0" TargetMode="External"/><Relationship Id="rId227" Type="http://schemas.openxmlformats.org/officeDocument/2006/relationships/hyperlink" Target="https://drive.google.com/drive/folders/1CBAfTKaVOEV4sraF8EFhLppq6CH4Y6SK?usp=drive_link" TargetMode="External"/><Relationship Id="rId269" Type="http://schemas.openxmlformats.org/officeDocument/2006/relationships/hyperlink" Target="https://drive.google.com/open?id=1YHi0JCZZH5fFbHUJnM9lBCi6imt8XoD6&amp;usp=drive_copy" TargetMode="External"/><Relationship Id="rId33" Type="http://schemas.openxmlformats.org/officeDocument/2006/relationships/hyperlink" Target="https://drive.google.com/file/d/1WwLY1lQi2XiSE0OtUotd4iudcZnmUB5t/view?usp=sharing" TargetMode="External"/><Relationship Id="rId129" Type="http://schemas.openxmlformats.org/officeDocument/2006/relationships/hyperlink" Target="https://www.truper.com/ficha_tecnica/Calibrador-digital-de-6-milimetrico-y-standard-688.html?code=14388" TargetMode="External"/><Relationship Id="rId280" Type="http://schemas.openxmlformats.org/officeDocument/2006/relationships/hyperlink" Target="https://drive.google.com/open?id=1C2oMdLFlGwDXmDz6Z1roCapgUHCjg8Kv&amp;usp=drive_copy" TargetMode="External"/><Relationship Id="rId336" Type="http://schemas.openxmlformats.org/officeDocument/2006/relationships/hyperlink" Target="https://docs.google.com/spreadsheets/d/1IOsx_rV1tIdxdsNWeVeQ_hRATXbMoRrFoku7fsQvDRw/edit?gid=0" TargetMode="External"/><Relationship Id="rId75" Type="http://schemas.openxmlformats.org/officeDocument/2006/relationships/hyperlink" Target="https://docs.google.com/spreadsheets/d/1bwN1cTvq27z69Nq3gi3tdAfHDLKVzCyvZxTSGqVWwhU/edit?gid=0" TargetMode="External"/><Relationship Id="rId140" Type="http://schemas.openxmlformats.org/officeDocument/2006/relationships/hyperlink" Target="https://docs.google.com/spreadsheets/d/1LxQWYlS0PFrIxwy7TJrd_GJI6eaPL6qIBRhzkS72-GU/edit?gid=0" TargetMode="External"/><Relationship Id="rId182" Type="http://schemas.openxmlformats.org/officeDocument/2006/relationships/hyperlink" Target="https://drive.google.com/file/d/1WwLY1lQi2XiSE0OtUotd4iudcZnmUB5t/view?usp=sharing" TargetMode="External"/><Relationship Id="rId378" Type="http://schemas.openxmlformats.org/officeDocument/2006/relationships/hyperlink" Target="https://docs.google.com/spreadsheets/d/1W6920Y3J8THitY_6gbiOXcLsCA7-rCRtWVskOFWIGco/edit?gid=0" TargetMode="External"/><Relationship Id="rId403" Type="http://schemas.openxmlformats.org/officeDocument/2006/relationships/comments" Target="../comments1.xml"/><Relationship Id="rId6" Type="http://schemas.openxmlformats.org/officeDocument/2006/relationships/hyperlink" Target="https://docs.google.com/spreadsheets/d/1yT1NrtyDkiCkPgwi74d9rJX5qONlyxS9brzdQPOZCv8/edit?gid=0" TargetMode="External"/><Relationship Id="rId238" Type="http://schemas.openxmlformats.org/officeDocument/2006/relationships/hyperlink" Target="https://cahema.pe/esquinera/15183-prensa-esquinera-3-truper-17690-7501206625194.html" TargetMode="External"/><Relationship Id="rId291" Type="http://schemas.openxmlformats.org/officeDocument/2006/relationships/hyperlink" Target="https://www.promart.pe/juego-de-llaves-combinadas-metricas-x12-piezas-96697/p?srsltid=AfmBOooHCane3IDVLNOL20k1t-k4ErDXoOaLi7RKrl5-vNwCfTCb6HOq" TargetMode="External"/><Relationship Id="rId305" Type="http://schemas.openxmlformats.org/officeDocument/2006/relationships/hyperlink" Target="https://docs.google.com/spreadsheets/d/1Z7H-sC08Ck7gV-ygAWSSmc0C68RsWXeWax0Gt1PqWRE/edit?gid=0" TargetMode="External"/><Relationship Id="rId347" Type="http://schemas.openxmlformats.org/officeDocument/2006/relationships/hyperlink" Target="https://drive.google.com/drive/folders/1rK6o8DdE92EJpJIg7RDku90ZIzP0cSeK" TargetMode="External"/><Relationship Id="rId44" Type="http://schemas.openxmlformats.org/officeDocument/2006/relationships/hyperlink" Target="https://drive.google.com/drive/folders/1-VFGtrXOKuBsSAvY92depZsE4JTqhAaq?usp=drive_link" TargetMode="External"/><Relationship Id="rId86" Type="http://schemas.openxmlformats.org/officeDocument/2006/relationships/hyperlink" Target="https://drive.google.com/file/d/1WwLY1lQi2XiSE0OtUotd4iudcZnmUB5t/view?usp=sharing" TargetMode="External"/><Relationship Id="rId151" Type="http://schemas.openxmlformats.org/officeDocument/2006/relationships/hyperlink" Target="https://drive.google.com/file/d/1WwLY1lQi2XiSE0OtUotd4iudcZnmUB5t/view?usp=sharing" TargetMode="External"/><Relationship Id="rId389" Type="http://schemas.openxmlformats.org/officeDocument/2006/relationships/hyperlink" Target="https://drive.google.com/file/d/1AwHGFgXhnn7iUkrkvPPtKC16_D8m6l6X/view?usp=drive_link" TargetMode="External"/><Relationship Id="rId193" Type="http://schemas.openxmlformats.org/officeDocument/2006/relationships/hyperlink" Target="https://drive.google.com/open?id=1EwKHRO3TvTdfxJrMsAtyzyQ1PrkREXtQ&amp;usp=drive_copy" TargetMode="External"/><Relationship Id="rId207" Type="http://schemas.openxmlformats.org/officeDocument/2006/relationships/hyperlink" Target="https://docs.google.com/spreadsheets/d/1DZbtN857Yr8UQoO0Fcie3qvWmO5Spz8PkCW27SaWWTk/edit?gid=0" TargetMode="External"/><Relationship Id="rId249" Type="http://schemas.openxmlformats.org/officeDocument/2006/relationships/hyperlink" Target="https://docs.google.com/spreadsheets/d/10cF--G64xOWnteaErg5OmGabZPfKjolXXELIZUIqc5U/edit?gid=0" TargetMode="External"/><Relationship Id="rId13" Type="http://schemas.openxmlformats.org/officeDocument/2006/relationships/hyperlink" Target="https://drive.google.com/file/d/1WwLY1lQi2XiSE0OtUotd4iudcZnmUB5t/view?usp=sharing" TargetMode="External"/><Relationship Id="rId109" Type="http://schemas.openxmlformats.org/officeDocument/2006/relationships/hyperlink" Target="https://www.aslak.es/madera/5920900-torno-para-madera-db-900.html" TargetMode="External"/><Relationship Id="rId260" Type="http://schemas.openxmlformats.org/officeDocument/2006/relationships/hyperlink" Target="https://www.irimo.com/pe_es/juego-de-3-alicates-pb_601-3-c_.html" TargetMode="External"/><Relationship Id="rId316" Type="http://schemas.openxmlformats.org/officeDocument/2006/relationships/hyperlink" Target="https://drive.google.com/file/d/1WwLY1lQi2XiSE0OtUotd4iudcZnmUB5t/view?usp=sharing" TargetMode="External"/><Relationship Id="rId55" Type="http://schemas.openxmlformats.org/officeDocument/2006/relationships/hyperlink" Target="https://docs.google.com/spreadsheets/d/1tGIY-FhWs3Q-nSXqD7POH6cwXntBycDVjlswmRrYcIs/edit?usp=sharing" TargetMode="External"/><Relationship Id="rId97" Type="http://schemas.openxmlformats.org/officeDocument/2006/relationships/hyperlink" Target="https://www.aslak.es/herramientas-electricas/taladro-de-columna-optidrill-d-26pro-230v-1ph-optidrill-d-26pro-230v-1ph.html" TargetMode="External"/><Relationship Id="rId120" Type="http://schemas.openxmlformats.org/officeDocument/2006/relationships/hyperlink" Target="https://docs.google.com/spreadsheets/d/1M9pC9agadjfZ8FDzV1rSwODKOWQJ15m4siWAPtG14RM/edit?gid=0" TargetMode="External"/><Relationship Id="rId358" Type="http://schemas.openxmlformats.org/officeDocument/2006/relationships/hyperlink" Target="https://drive.google.com/open?id=1ze1s-Q1VaPrc1pcLCThXjNtO-71CTMS8&amp;usp=drive_copy" TargetMode="External"/><Relationship Id="rId162" Type="http://schemas.openxmlformats.org/officeDocument/2006/relationships/hyperlink" Target="https://drive.google.com/file/d/1WwLY1lQi2XiSE0OtUotd4iudcZnmUB5t/view?usp=sharing" TargetMode="External"/><Relationship Id="rId218" Type="http://schemas.openxmlformats.org/officeDocument/2006/relationships/hyperlink" Target="https://docs.google.com/spreadsheets/d/1dN9B15DjOLeN30LcUDy41z3jg7HB3zCuT48-BAfadq4/edit?gid=0" TargetMode="External"/><Relationship Id="rId271" Type="http://schemas.openxmlformats.org/officeDocument/2006/relationships/hyperlink" Target="https://docs.google.com/spreadsheets/d/1KvijwAYXT--DMsiJgja_966XlzeunZLnihCOvpvmlqY/edit?gid=0" TargetMode="External"/><Relationship Id="rId24" Type="http://schemas.openxmlformats.org/officeDocument/2006/relationships/hyperlink" Target="https://drive.google.com/drive/folders/1WZQrVQfoW1NcQz2oqYQBVrCtPBzK-AH3?usp=drive_link" TargetMode="External"/><Relationship Id="rId66" Type="http://schemas.openxmlformats.org/officeDocument/2006/relationships/hyperlink" Target="https://drive.google.com/file/d/1WwLY1lQi2XiSE0OtUotd4iudcZnmUB5t/view?usp=sharing" TargetMode="External"/><Relationship Id="rId131" Type="http://schemas.openxmlformats.org/officeDocument/2006/relationships/hyperlink" Target="https://drive.google.com/file/d/1WwLY1lQi2XiSE0OtUotd4iudcZnmUB5t/view?usp=sharing" TargetMode="External"/><Relationship Id="rId327" Type="http://schemas.openxmlformats.org/officeDocument/2006/relationships/hyperlink" Target="https://drive.google.com/file/d/1WwLY1lQi2XiSE0OtUotd4iudcZnmUB5t/view?usp=sharing" TargetMode="External"/><Relationship Id="rId369" Type="http://schemas.openxmlformats.org/officeDocument/2006/relationships/hyperlink" Target="https://drive.google.com/drive/folders/1umBY7Lfoyb8dUNwEgGt0SrrC9A_lZcOF" TargetMode="External"/><Relationship Id="rId173" Type="http://schemas.openxmlformats.org/officeDocument/2006/relationships/hyperlink" Target="https://drive.google.com/open?id=19Tl1tW2oVoDJGvtw-qBUEzQ5U1rlszYy&amp;usp=drive_copy" TargetMode="External"/><Relationship Id="rId229" Type="http://schemas.openxmlformats.org/officeDocument/2006/relationships/hyperlink" Target="https://docs.google.com/spreadsheets/d/1jAG8Q0JxTB5kTAIg1ruZn7u0nfhf3mdrM8oa3VWIjnU/edit?gid=0" TargetMode="External"/><Relationship Id="rId380" Type="http://schemas.openxmlformats.org/officeDocument/2006/relationships/hyperlink" Target="https://drive.google.com/file/d/1vs2k-avbde9e4QZuLYHNynklCSeiHarI/view?usp=sharing" TargetMode="External"/><Relationship Id="rId240" Type="http://schemas.openxmlformats.org/officeDocument/2006/relationships/hyperlink" Target="https://drive.google.com/file/d/1WwLY1lQi2XiSE0OtUotd4iudcZnmUB5t/view?usp=sharing" TargetMode="External"/><Relationship Id="rId35" Type="http://schemas.openxmlformats.org/officeDocument/2006/relationships/hyperlink" Target="https://store.creality.com/es/products/k1c-impresora-3d" TargetMode="External"/><Relationship Id="rId77" Type="http://schemas.openxmlformats.org/officeDocument/2006/relationships/hyperlink" Target="https://drive.google.com/drive/folders/15DlfyQAt4lKMBOqYjYA7XJs5T6zPWGD_" TargetMode="External"/><Relationship Id="rId100" Type="http://schemas.openxmlformats.org/officeDocument/2006/relationships/hyperlink" Target="https://docs.google.com/spreadsheets/d/1Tl-pDOaJauhUrD0i3nabPgoNBjwR3V4PWg6CeXXd5Pk/edit?gid=0" TargetMode="External"/><Relationship Id="rId282" Type="http://schemas.openxmlformats.org/officeDocument/2006/relationships/hyperlink" Target="https://docs.google.com/spreadsheets/d/1Ylgm-DqYHsuvOoLIS2-NIEINBmNAUcq0VlVndwNEXt8/edit?gid=0" TargetMode="External"/><Relationship Id="rId338" Type="http://schemas.openxmlformats.org/officeDocument/2006/relationships/hyperlink" Target="https://drive.google.com/file/d/1_UHuH37ATrm911Ohx4aL_9Z3m--yiXpV/view?usp=sharing" TargetMode="External"/><Relationship Id="rId8" Type="http://schemas.openxmlformats.org/officeDocument/2006/relationships/hyperlink" Target="https://drive.google.com/drive/folders/19BKTrtBKjp-Hzp2SvWldeF1ukyDlXvgm?usp=drive_link" TargetMode="External"/><Relationship Id="rId142" Type="http://schemas.openxmlformats.org/officeDocument/2006/relationships/hyperlink" Target="https://drive.google.com/drive/folders/124XkyIK9QD09qztNBO0HbzZRpjFZ93L9?usp=drive_link" TargetMode="External"/><Relationship Id="rId184" Type="http://schemas.openxmlformats.org/officeDocument/2006/relationships/hyperlink" Target="https://drive.google.com/file/d/12PVAVdDlw42qXgrqS_LPy-TIVNZKCSZ2/view?usp=sharing" TargetMode="External"/><Relationship Id="rId391" Type="http://schemas.openxmlformats.org/officeDocument/2006/relationships/hyperlink" Target="https://docs.google.com/spreadsheets/d/1YErqJ3cewaCiyCT8pmIaZ36UirsyKm_q9C9YFuySVWE/edit?gid=0" TargetMode="External"/><Relationship Id="rId251" Type="http://schemas.openxmlformats.org/officeDocument/2006/relationships/hyperlink" Target="https://drive.google.com/open?id=1HPGvUjM9BfBIZ--K-hfUm38uuXGIrQxt&amp;usp=drive_copy" TargetMode="External"/><Relationship Id="rId46" Type="http://schemas.openxmlformats.org/officeDocument/2006/relationships/hyperlink" Target="https://docs.google.com/spreadsheets/d/1mtVL2j-4_yhoaIVcVeQYoADxWrqm6n1AZUpoakDAEfk/edit?usp=sharing" TargetMode="External"/><Relationship Id="rId293" Type="http://schemas.openxmlformats.org/officeDocument/2006/relationships/hyperlink" Target="https://drive.google.com/file/d/1WwLY1lQi2XiSE0OtUotd4iudcZnmUB5t/view?usp=sharing" TargetMode="External"/><Relationship Id="rId307" Type="http://schemas.openxmlformats.org/officeDocument/2006/relationships/hyperlink" Target="https://drive.google.com/open?id=1CK5jtpbOl4SCk-p60cxAWu885oseQW2F&amp;usp=drive_copy" TargetMode="External"/><Relationship Id="rId349" Type="http://schemas.openxmlformats.org/officeDocument/2006/relationships/hyperlink" Target="https://docs.google.com/spreadsheets/d/1UIoGyykVJbOfn_pdLHA0VGy-gG0btmFIbpOMedfud68/edit?gid=0" TargetMode="External"/><Relationship Id="rId88" Type="http://schemas.openxmlformats.org/officeDocument/2006/relationships/hyperlink" Target="https://docs.google.com/spreadsheets/d/19IQyJnN9c9Gi20rY-XUNnv74CXgYsTOtulkeh7ErwuQ/edit?gid=0" TargetMode="External"/><Relationship Id="rId111" Type="http://schemas.openxmlformats.org/officeDocument/2006/relationships/hyperlink" Target="https://drive.google.com/file/d/1WwLY1lQi2XiSE0OtUotd4iudcZnmUB5t/view?usp=sharing" TargetMode="External"/><Relationship Id="rId153" Type="http://schemas.openxmlformats.org/officeDocument/2006/relationships/hyperlink" Target="https://store.ferrindustrial.com.pe/producto/escuadra-de-combinacion-12-300mm-set-de-4pzas-508090-vogel-germany/" TargetMode="External"/><Relationship Id="rId195" Type="http://schemas.openxmlformats.org/officeDocument/2006/relationships/hyperlink" Target="https://docs.google.com/spreadsheets/d/1GzweDzfnn-GpuRPXkeROl96fT1bcYrgI_WjEXgsOhLc/edit?gid=0" TargetMode="External"/><Relationship Id="rId209" Type="http://schemas.openxmlformats.org/officeDocument/2006/relationships/hyperlink" Target="https://drive.google.com/file/d/1WwLY1lQi2XiSE0OtUotd4iudcZnmUB5t/view?usp=sharing" TargetMode="External"/><Relationship Id="rId360" Type="http://schemas.openxmlformats.org/officeDocument/2006/relationships/hyperlink" Target="https://docs.google.com/spreadsheets/d/16HBCMUiasoP86oOYwR6sdUqw4ocW6Ywo_exqwzK35Mo/edit?gid=0" TargetMode="External"/><Relationship Id="rId220" Type="http://schemas.openxmlformats.org/officeDocument/2006/relationships/hyperlink" Target="https://drive.google.com/open?id=1P2GQrNoWKutcfotZYFlobRs1ia5UpPx4&amp;usp=drive_copy" TargetMode="External"/><Relationship Id="rId15" Type="http://schemas.openxmlformats.org/officeDocument/2006/relationships/hyperlink" Target="https://www.thunderlaser.com/titan-series/" TargetMode="External"/><Relationship Id="rId57" Type="http://schemas.openxmlformats.org/officeDocument/2006/relationships/hyperlink" Target="https://drive.google.com/drive/folders/1gLwz1gELm0ydZCqHmjHGkEFCpIQ_ipdm?usp=sharing" TargetMode="External"/><Relationship Id="rId262" Type="http://schemas.openxmlformats.org/officeDocument/2006/relationships/hyperlink" Target="https://drive.google.com/file/d/1WwLY1lQi2XiSE0OtUotd4iudcZnmUB5t/view?usp=sharing" TargetMode="External"/><Relationship Id="rId318" Type="http://schemas.openxmlformats.org/officeDocument/2006/relationships/hyperlink" Target="https://www.aibitech.com/herramientas-de-carpinteria/serruchos/serrucho-diamante-de-costilla-12-espesor-08mm-dpp9-en-acero-alto-carbono-templado-stcx-12-18165-truper-10814.html?srsltid=AfmBOorhCkbWB6VZ2U_S75ymKSs5FzOxa2Chqzw1JE8zl2j9ni4XWbWL" TargetMode="External"/><Relationship Id="rId99" Type="http://schemas.openxmlformats.org/officeDocument/2006/relationships/hyperlink" Target="https://drive.google.com/file/d/1WwLY1lQi2XiSE0OtUotd4iudcZnmUB5t/view?usp=sharing" TargetMode="External"/><Relationship Id="rId122" Type="http://schemas.openxmlformats.org/officeDocument/2006/relationships/hyperlink" Target="https://drive.google.com/open?id=1ARm2GCrlmJD7GGSoI7DulNRXEcV1uKDa&amp;usp=drive_copy" TargetMode="External"/><Relationship Id="rId164" Type="http://schemas.openxmlformats.org/officeDocument/2006/relationships/hyperlink" Target="https://www.sola.at/en/products/vstg-p3890" TargetMode="External"/><Relationship Id="rId371" Type="http://schemas.openxmlformats.org/officeDocument/2006/relationships/hyperlink" Target="https://docs.google.com/spreadsheets/d/13jmaBWsPuwGDkRvfDGf-CeuKw-SqrKk3sDGBO6I48xE/edit?gid=0" TargetMode="External"/><Relationship Id="rId26" Type="http://schemas.openxmlformats.org/officeDocument/2006/relationships/hyperlink" Target="https://docs.google.com/spreadsheets/d/1KanCLW7z2sJ41Ixr6cYvxbW4iAgDStAjzhixnwnqO7A/edit?usp=sharing" TargetMode="External"/><Relationship Id="rId231" Type="http://schemas.openxmlformats.org/officeDocument/2006/relationships/hyperlink" Target="https://drive.google.com/open?id=11NsuETZGZvQVqfgeFh1E0tbgNwcsq9jh&amp;usp=drive_copy" TargetMode="External"/><Relationship Id="rId273" Type="http://schemas.openxmlformats.org/officeDocument/2006/relationships/hyperlink" Target="https://drive.google.com/open?id=1NjHJ7DjJpx6DDF1LUKGEMulOGoMPCxJu&amp;usp=drive_copy" TargetMode="External"/><Relationship Id="rId329" Type="http://schemas.openxmlformats.org/officeDocument/2006/relationships/hyperlink" Target="https://segurimax.com.pe/product/careta-de-proteccion-facial/" TargetMode="External"/><Relationship Id="rId68" Type="http://schemas.openxmlformats.org/officeDocument/2006/relationships/hyperlink" Target="https://www.scmgroup.com/es_PE/scmwood/products/maquinas-para-carpinteria.c884/thicknessers-planers.973/minimax-s-41es.667" TargetMode="External"/><Relationship Id="rId133" Type="http://schemas.openxmlformats.org/officeDocument/2006/relationships/hyperlink" Target="https://www.wikus.de/es/productos/hojas-de-sierra-de-cinta/hojas-de-sierra-de-cinta-bimetalicas/proflex-m42" TargetMode="External"/><Relationship Id="rId175" Type="http://schemas.openxmlformats.org/officeDocument/2006/relationships/hyperlink" Target="https://docs.google.com/spreadsheets/d/1wpSMb11hRCpcLHJGu8P4NanCqXLKSie_goJtK-W3PAg/edit?gid=0" TargetMode="External"/><Relationship Id="rId340" Type="http://schemas.openxmlformats.org/officeDocument/2006/relationships/hyperlink" Target="https://drive.google.com/open?id=1bAchon1GAsGBUUBJJ87uaPVWO61ccbz_&amp;usp=drive_copy" TargetMode="External"/><Relationship Id="rId200" Type="http://schemas.openxmlformats.org/officeDocument/2006/relationships/hyperlink" Target="https://www.amazon.com/-/es/IMOTECHOM-Juego-cinceles-madera-piezas/dp/B07RN4G83B/ref=sr_1_11?__mk_es_US=%C3%85M%C3%85%C5%BD%C3%95%C3%91&amp;crid=2AUEBLT5XC0M9&amp;dib=eyJ2IjoiMSJ9.6ocz4V8b3RAvMEfWVyNy4eARkLdfdE9w7dn6_7t0zV2HTn8J8JhPPRflFdlrz8539noCFYQbAekzAI0bBI6JzpZTiWWQi6V5aI01LojrsiauJrX0_QhtfJdSOJ4sp00_FbabqR1EjWnc8qxZgLEvsrw0nQL2nJSE9W63OrT2rDA3G5Iv27evhfdNUzGdoZekPlEQtwHLUk7Q84PU3KT_tA5FhZXtTPE4Pwf2GSu_6nmVqWYcpAznED1JEezU_FGtzd71MFTQQkfk4HbAMW4pb7YtW6gnsgWKUYsG2HjUoAY.Y5G7idF6ZpuJRnm9bZu8BcTioJ1_7WyDkriFUghaZjI&amp;dib_tag=se&amp;keywords=JUEGO+DE+CINCELES+IMOTECHOM&amp;qid=1763063717&amp;sprefix=juego+de+cinceles+imotechom%2Caps%2C221&amp;sr=8-11" TargetMode="External"/><Relationship Id="rId382" Type="http://schemas.openxmlformats.org/officeDocument/2006/relationships/hyperlink" Target="https://docs.google.com/spreadsheets/d/1CXiFlOvUW_kJWeYaYSws44Q2n7CSTQEiGZlNsSoXRNw/edit?usp=sharing" TargetMode="External"/><Relationship Id="rId242" Type="http://schemas.openxmlformats.org/officeDocument/2006/relationships/hyperlink" Target="https://prosinfer.pe/product/tornillo-de-banco-4-125-mm-stanley-83-066/" TargetMode="External"/><Relationship Id="rId284" Type="http://schemas.openxmlformats.org/officeDocument/2006/relationships/hyperlink" Target="https://drive.google.com/open?id=1nJu65wrceOn6ZzswPCjZULlBJn8CRd94&amp;usp=drive_copy" TargetMode="External"/><Relationship Id="rId37" Type="http://schemas.openxmlformats.org/officeDocument/2006/relationships/hyperlink" Target="https://drive.google.com/file/d/1h4VAVdnpYwVJWfv9Am07uX69gQjmocj4/view?usp=sharing" TargetMode="External"/><Relationship Id="rId79" Type="http://schemas.openxmlformats.org/officeDocument/2006/relationships/hyperlink" Target="https://docs.google.com/spreadsheets/d/1-Fhv-7gSt-svj_DlIyZcjGu2Mrqy3OEgPo8VM0QvnK8/edit?gid=0" TargetMode="External"/><Relationship Id="rId102" Type="http://schemas.openxmlformats.org/officeDocument/2006/relationships/hyperlink" Target="https://drive.google.com/open?id=1Oi8D4Frx35Nfu2QPmwfpkIkThFiwEKhE&amp;usp=drive_copy" TargetMode="External"/><Relationship Id="rId144" Type="http://schemas.openxmlformats.org/officeDocument/2006/relationships/hyperlink" Target="https://docs.google.com/spreadsheets/d/1HKgu7QvmCKS5se7mc7iDYqUfQEjqFRUJYyiQgzyxrVI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AC110"/>
  <sheetViews>
    <sheetView showGridLines="0" tabSelected="1" zoomScale="69" workbookViewId="0">
      <pane xSplit="8" ySplit="5" topLeftCell="I101" activePane="bottomRight" state="frozen"/>
      <selection pane="topRight" activeCell="I1" sqref="I1"/>
      <selection pane="bottomLeft" activeCell="A6" sqref="A6"/>
      <selection pane="bottomRight" activeCell="F102" sqref="F102"/>
    </sheetView>
  </sheetViews>
  <sheetFormatPr baseColWidth="10" defaultColWidth="12.6640625" defaultRowHeight="15.75" customHeight="1" outlineLevelCol="1"/>
  <cols>
    <col min="1" max="2" width="6.33203125" customWidth="1"/>
    <col min="3" max="3" width="16" customWidth="1"/>
    <col min="4" max="5" width="16" customWidth="1" outlineLevel="1"/>
    <col min="6" max="6" width="14.21875" customWidth="1"/>
    <col min="7" max="7" width="16" customWidth="1"/>
    <col min="8" max="8" width="27.33203125" customWidth="1"/>
    <col min="9" max="9" width="8.44140625" customWidth="1"/>
    <col min="10" max="10" width="12.6640625" customWidth="1"/>
    <col min="11" max="11" width="19.44140625" customWidth="1"/>
    <col min="12" max="12" width="31.33203125" customWidth="1"/>
    <col min="13" max="13" width="31.33203125" customWidth="1" outlineLevel="1"/>
    <col min="14" max="14" width="16.21875" customWidth="1"/>
    <col min="15" max="15" width="15.109375" customWidth="1"/>
    <col min="16" max="16" width="32.33203125" customWidth="1" outlineLevel="1"/>
    <col min="17" max="17" width="5.88671875" customWidth="1" outlineLevel="1"/>
    <col min="18" max="18" width="12.88671875" customWidth="1" outlineLevel="1"/>
    <col min="19" max="19" width="12.88671875" customWidth="1"/>
    <col min="20" max="20" width="37.77734375" customWidth="1"/>
    <col min="21" max="21" width="19.44140625" customWidth="1"/>
    <col min="22" max="22" width="28.88671875" hidden="1" customWidth="1" outlineLevel="1"/>
    <col min="23" max="23" width="31.33203125" hidden="1" customWidth="1" outlineLevel="1"/>
    <col min="24" max="24" width="25.109375" hidden="1" customWidth="1" outlineLevel="1"/>
    <col min="25" max="28" width="18.88671875" hidden="1" customWidth="1" outlineLevel="1"/>
    <col min="29" max="29" width="6.33203125" customWidth="1" collapsed="1"/>
  </cols>
  <sheetData>
    <row r="1" spans="1:29" ht="26.4">
      <c r="A1" s="1"/>
      <c r="B1" s="2"/>
      <c r="C1" s="3"/>
      <c r="D1" s="2"/>
      <c r="E1" s="2"/>
      <c r="F1" s="2"/>
      <c r="G1" s="2"/>
      <c r="H1" s="2"/>
      <c r="I1" s="4"/>
      <c r="J1" s="4"/>
      <c r="K1" s="3"/>
      <c r="L1" s="1"/>
      <c r="M1" s="1"/>
      <c r="N1" s="5"/>
      <c r="O1" s="5"/>
      <c r="P1" s="5"/>
      <c r="Q1" s="1"/>
      <c r="R1" s="1"/>
      <c r="S1" s="1"/>
      <c r="T1" s="6" t="s">
        <v>0</v>
      </c>
      <c r="U1" s="3"/>
      <c r="V1" s="1"/>
      <c r="W1" s="1"/>
      <c r="X1" s="1"/>
      <c r="Y1" s="1"/>
      <c r="Z1" s="1"/>
      <c r="AA1" s="1"/>
      <c r="AB1" s="1"/>
      <c r="AC1" s="7"/>
    </row>
    <row r="2" spans="1:29" ht="26.4">
      <c r="A2" s="1"/>
      <c r="B2" s="3" t="s">
        <v>1</v>
      </c>
      <c r="D2" s="3"/>
      <c r="E2" s="3"/>
      <c r="F2" s="3"/>
      <c r="H2" s="8" t="s">
        <v>2</v>
      </c>
      <c r="I2" s="4"/>
      <c r="J2" s="4"/>
      <c r="Q2" s="9"/>
      <c r="R2" s="9"/>
      <c r="S2" s="10"/>
      <c r="T2" s="11" t="s">
        <v>3</v>
      </c>
      <c r="V2" s="7"/>
      <c r="W2" s="7"/>
      <c r="X2" s="12" t="s">
        <v>4</v>
      </c>
      <c r="Y2" s="1"/>
      <c r="Z2" s="1"/>
      <c r="AA2" s="1"/>
      <c r="AB2" s="1"/>
      <c r="AC2" s="7"/>
    </row>
    <row r="3" spans="1:29" ht="21.6">
      <c r="A3" s="1"/>
      <c r="B3" s="7"/>
      <c r="C3" s="72" t="s">
        <v>5</v>
      </c>
      <c r="D3" s="73"/>
      <c r="I3" s="13"/>
      <c r="J3" s="14"/>
      <c r="L3" s="12" t="s">
        <v>6</v>
      </c>
      <c r="M3" s="7"/>
      <c r="N3" s="15"/>
      <c r="O3" s="15" t="s">
        <v>7</v>
      </c>
      <c r="P3" s="15"/>
      <c r="Q3" s="7"/>
      <c r="R3" s="7"/>
      <c r="S3" s="16"/>
      <c r="T3" s="11" t="s">
        <v>8</v>
      </c>
      <c r="V3" s="15"/>
      <c r="W3" s="15"/>
      <c r="X3" s="15"/>
      <c r="Y3" s="15"/>
      <c r="Z3" s="15"/>
      <c r="AA3" s="15"/>
      <c r="AB3" s="15"/>
      <c r="AC3" s="15"/>
    </row>
    <row r="4" spans="1:29" ht="21.6">
      <c r="A4" s="17"/>
      <c r="B4" s="7"/>
      <c r="C4" s="74" t="s">
        <v>9</v>
      </c>
      <c r="D4" s="73"/>
      <c r="E4" s="13"/>
      <c r="F4" s="13"/>
      <c r="G4" s="18" t="s">
        <v>10</v>
      </c>
      <c r="H4" s="19" t="s">
        <v>11</v>
      </c>
      <c r="I4" s="13"/>
      <c r="J4" s="14">
        <f>SUBTOTAL(9,J6:J110)</f>
        <v>1669</v>
      </c>
      <c r="K4" s="15"/>
      <c r="L4" s="75"/>
      <c r="M4" s="76"/>
      <c r="N4" s="77" t="s">
        <v>12</v>
      </c>
      <c r="O4" s="78"/>
      <c r="P4" s="78"/>
      <c r="Q4" s="78"/>
      <c r="R4" s="79"/>
      <c r="S4" s="80" t="s">
        <v>13</v>
      </c>
      <c r="T4" s="79"/>
      <c r="U4" s="20" t="s">
        <v>14</v>
      </c>
      <c r="Y4" s="1"/>
      <c r="Z4" s="1"/>
      <c r="AA4" s="1"/>
      <c r="AB4" s="1"/>
      <c r="AC4" s="7"/>
    </row>
    <row r="5" spans="1:29" ht="40.5" customHeight="1">
      <c r="A5" s="7"/>
      <c r="B5" s="21" t="s">
        <v>15</v>
      </c>
      <c r="C5" s="21" t="s">
        <v>16</v>
      </c>
      <c r="D5" s="21" t="s">
        <v>17</v>
      </c>
      <c r="E5" s="21" t="s">
        <v>18</v>
      </c>
      <c r="F5" s="21" t="s">
        <v>19</v>
      </c>
      <c r="G5" s="22" t="s">
        <v>20</v>
      </c>
      <c r="H5" s="22" t="s">
        <v>21</v>
      </c>
      <c r="I5" s="21" t="s">
        <v>22</v>
      </c>
      <c r="J5" s="21" t="s">
        <v>23</v>
      </c>
      <c r="K5" s="21" t="s">
        <v>24</v>
      </c>
      <c r="L5" s="23" t="s">
        <v>25</v>
      </c>
      <c r="M5" s="23" t="s">
        <v>26</v>
      </c>
      <c r="N5" s="24" t="s">
        <v>27</v>
      </c>
      <c r="O5" s="24" t="s">
        <v>28</v>
      </c>
      <c r="P5" s="24" t="s">
        <v>29</v>
      </c>
      <c r="Q5" s="24" t="s">
        <v>30</v>
      </c>
      <c r="R5" s="24" t="s">
        <v>31</v>
      </c>
      <c r="S5" s="25" t="s">
        <v>32</v>
      </c>
      <c r="T5" s="25" t="s">
        <v>33</v>
      </c>
      <c r="U5" s="21" t="s">
        <v>34</v>
      </c>
      <c r="V5" s="25" t="s">
        <v>35</v>
      </c>
      <c r="W5" s="25" t="s">
        <v>36</v>
      </c>
      <c r="X5" s="25" t="s">
        <v>37</v>
      </c>
      <c r="Y5" s="1"/>
      <c r="Z5" s="1"/>
      <c r="AA5" s="1"/>
      <c r="AB5" s="1"/>
      <c r="AC5" s="7"/>
    </row>
    <row r="6" spans="1:29" ht="42" customHeight="1">
      <c r="A6" s="7"/>
      <c r="B6" s="26">
        <v>28</v>
      </c>
      <c r="C6" s="27" t="b">
        <v>1</v>
      </c>
      <c r="D6" s="70" t="s">
        <v>58</v>
      </c>
      <c r="E6" s="27" t="s">
        <v>38</v>
      </c>
      <c r="F6" s="27" t="s">
        <v>59</v>
      </c>
      <c r="G6" s="27" t="s">
        <v>59</v>
      </c>
      <c r="H6" s="28" t="s">
        <v>60</v>
      </c>
      <c r="I6" s="27" t="s">
        <v>22</v>
      </c>
      <c r="J6" s="29">
        <v>2</v>
      </c>
      <c r="K6" s="30" t="s">
        <v>47</v>
      </c>
      <c r="L6" s="39" t="s">
        <v>61</v>
      </c>
      <c r="M6" s="32" t="s">
        <v>62</v>
      </c>
      <c r="N6" s="33" t="s">
        <v>63</v>
      </c>
      <c r="O6" s="33" t="s">
        <v>64</v>
      </c>
      <c r="P6" s="34" t="s">
        <v>65</v>
      </c>
      <c r="Q6" s="33" t="b">
        <v>0</v>
      </c>
      <c r="R6" s="33" t="s">
        <v>41</v>
      </c>
      <c r="S6" s="16" t="s">
        <v>42</v>
      </c>
      <c r="T6" s="34" t="s">
        <v>66</v>
      </c>
      <c r="U6" s="31" t="s">
        <v>67</v>
      </c>
      <c r="V6" s="27"/>
      <c r="W6" s="42" t="s">
        <v>68</v>
      </c>
      <c r="X6" s="34" t="s">
        <v>44</v>
      </c>
      <c r="Y6" s="36" t="str">
        <f ca="1">IFERROR(__xludf.DUMMYFUNCTION("VLOOKUP($G33, IMPORTRANGE(""https://docs.google.com/spreadsheets/d/1m0XUyo6H-YHIwm-JawEbLnxdQgU4gDApt1rpXCJkbqs/edit?gid=602588258#gid=602588258"", ""EQUIPOS!G4:523"") ,13,0)"),"#REF!")</f>
        <v>#REF!</v>
      </c>
      <c r="Z6" s="36" t="str">
        <f ca="1">IFERROR(__xludf.DUMMYFUNCTION("VLOOKUP($G33, IMPORTRANGE(""https://docs.google.com/spreadsheets/d/1m0XUyo6H-YHIwm-JawEbLnxdQgU4gDApt1rpXCJkbqs/edit?gid=602588258#gid=602588258"", ""EQUIPOS!G4:523"") ,14,0)"),"#REF!")</f>
        <v>#REF!</v>
      </c>
      <c r="AA6" s="36" t="str">
        <f ca="1">IFERROR(__xludf.DUMMYFUNCTION("VLOOKUP($G33, IMPORTRANGE(""https://docs.google.com/spreadsheets/d/1m0XUyo6H-YHIwm-JawEbLnxdQgU4gDApt1rpXCJkbqs/edit?gid=602588258#gid=602588258"", ""EQUIPOS!G4:523"") ,15,0)"),"#REF!")</f>
        <v>#REF!</v>
      </c>
      <c r="AB6" s="36" t="str">
        <f ca="1">IFERROR(__xludf.DUMMYFUNCTION("VLOOKUP($G33, IMPORTRANGE(""https://docs.google.com/spreadsheets/d/1m0XUyo6H-YHIwm-JawEbLnxdQgU4gDApt1rpXCJkbqs/edit?gid=602588258#gid=602588258"", ""EQUIPOS!G4:523"") ,16,0)"),"#REF!")</f>
        <v>#REF!</v>
      </c>
      <c r="AC6" s="7"/>
    </row>
    <row r="7" spans="1:29" ht="42" customHeight="1">
      <c r="A7" s="7"/>
      <c r="B7" s="26">
        <v>36</v>
      </c>
      <c r="C7" s="27" t="b">
        <v>1</v>
      </c>
      <c r="D7" s="70" t="s">
        <v>58</v>
      </c>
      <c r="E7" s="27" t="s">
        <v>38</v>
      </c>
      <c r="F7" s="27" t="s">
        <v>71</v>
      </c>
      <c r="G7" s="27" t="s">
        <v>71</v>
      </c>
      <c r="H7" s="28" t="s">
        <v>72</v>
      </c>
      <c r="I7" s="27" t="s">
        <v>22</v>
      </c>
      <c r="J7" s="29">
        <v>2</v>
      </c>
      <c r="K7" s="30" t="s">
        <v>47</v>
      </c>
      <c r="L7" s="31" t="s">
        <v>73</v>
      </c>
      <c r="M7" s="32" t="s">
        <v>74</v>
      </c>
      <c r="N7" s="33" t="s">
        <v>75</v>
      </c>
      <c r="O7" s="33" t="s">
        <v>76</v>
      </c>
      <c r="P7" s="34" t="s">
        <v>77</v>
      </c>
      <c r="Q7" s="33" t="b">
        <v>1</v>
      </c>
      <c r="R7" s="33" t="s">
        <v>78</v>
      </c>
      <c r="S7" s="16" t="s">
        <v>42</v>
      </c>
      <c r="T7" s="34" t="s">
        <v>79</v>
      </c>
      <c r="U7" s="31" t="s">
        <v>67</v>
      </c>
      <c r="V7" s="27"/>
      <c r="W7" s="27"/>
      <c r="X7" s="34" t="s">
        <v>51</v>
      </c>
      <c r="Y7" s="36" t="str">
        <f ca="1">IFERROR(__xludf.DUMMYFUNCTION("VLOOKUP($G41, IMPORTRANGE(""https://docs.google.com/spreadsheets/d/1m0XUyo6H-YHIwm-JawEbLnxdQgU4gDApt1rpXCJkbqs/edit?gid=602588258#gid=602588258"", ""EQUIPOS!G4:523"") ,13,0)"),"#REF!")</f>
        <v>#REF!</v>
      </c>
      <c r="Z7" s="36" t="str">
        <f ca="1">IFERROR(__xludf.DUMMYFUNCTION("VLOOKUP($G41, IMPORTRANGE(""https://docs.google.com/spreadsheets/d/1m0XUyo6H-YHIwm-JawEbLnxdQgU4gDApt1rpXCJkbqs/edit?gid=602588258#gid=602588258"", ""EQUIPOS!G4:523"") ,14,0)"),"#REF!")</f>
        <v>#REF!</v>
      </c>
      <c r="AA7" s="36" t="str">
        <f ca="1">IFERROR(__xludf.DUMMYFUNCTION("VLOOKUP($G41, IMPORTRANGE(""https://docs.google.com/spreadsheets/d/1m0XUyo6H-YHIwm-JawEbLnxdQgU4gDApt1rpXCJkbqs/edit?gid=602588258#gid=602588258"", ""EQUIPOS!G4:523"") ,15,0)"),"#REF!")</f>
        <v>#REF!</v>
      </c>
      <c r="AB7" s="36" t="str">
        <f ca="1">IFERROR(__xludf.DUMMYFUNCTION("VLOOKUP($G41, IMPORTRANGE(""https://docs.google.com/spreadsheets/d/1m0XUyo6H-YHIwm-JawEbLnxdQgU4gDApt1rpXCJkbqs/edit?gid=602588258#gid=602588258"", ""EQUIPOS!G4:523"") ,16,0)"),"#REF!")</f>
        <v>#REF!</v>
      </c>
      <c r="AC7" s="7"/>
    </row>
    <row r="8" spans="1:29" ht="42" customHeight="1">
      <c r="A8" s="7"/>
      <c r="B8" s="26">
        <v>38</v>
      </c>
      <c r="C8" s="27" t="b">
        <v>1</v>
      </c>
      <c r="D8" s="70" t="s">
        <v>58</v>
      </c>
      <c r="E8" s="27" t="s">
        <v>38</v>
      </c>
      <c r="F8" s="27" t="s">
        <v>80</v>
      </c>
      <c r="G8" s="27" t="s">
        <v>81</v>
      </c>
      <c r="H8" s="28" t="s">
        <v>82</v>
      </c>
      <c r="I8" s="27" t="s">
        <v>22</v>
      </c>
      <c r="J8" s="29">
        <v>1</v>
      </c>
      <c r="K8" s="30" t="s">
        <v>47</v>
      </c>
      <c r="L8" s="31" t="s">
        <v>83</v>
      </c>
      <c r="M8" s="32" t="s">
        <v>56</v>
      </c>
      <c r="N8" s="33" t="s">
        <v>84</v>
      </c>
      <c r="O8" s="33" t="s">
        <v>85</v>
      </c>
      <c r="P8" s="34" t="s">
        <v>86</v>
      </c>
      <c r="Q8" s="33" t="b">
        <v>1</v>
      </c>
      <c r="R8" s="33" t="s">
        <v>78</v>
      </c>
      <c r="S8" s="16" t="s">
        <v>42</v>
      </c>
      <c r="T8" s="34" t="s">
        <v>87</v>
      </c>
      <c r="U8" s="31" t="s">
        <v>67</v>
      </c>
      <c r="V8" s="27"/>
      <c r="W8" s="27"/>
      <c r="X8" s="34" t="s">
        <v>51</v>
      </c>
      <c r="Y8" s="36" t="str">
        <f ca="1">IFERROR(__xludf.DUMMYFUNCTION("VLOOKUP($G43, IMPORTRANGE(""https://docs.google.com/spreadsheets/d/1m0XUyo6H-YHIwm-JawEbLnxdQgU4gDApt1rpXCJkbqs/edit?gid=602588258#gid=602588258"", ""EQUIPOS!G4:523"") ,13,0)"),"#REF!")</f>
        <v>#REF!</v>
      </c>
      <c r="Z8" s="36" t="str">
        <f ca="1">IFERROR(__xludf.DUMMYFUNCTION("VLOOKUP($G43, IMPORTRANGE(""https://docs.google.com/spreadsheets/d/1m0XUyo6H-YHIwm-JawEbLnxdQgU4gDApt1rpXCJkbqs/edit?gid=602588258#gid=602588258"", ""EQUIPOS!G4:523"") ,14,0)"),"#REF!")</f>
        <v>#REF!</v>
      </c>
      <c r="AA8" s="36" t="str">
        <f ca="1">IFERROR(__xludf.DUMMYFUNCTION("VLOOKUP($G43, IMPORTRANGE(""https://docs.google.com/spreadsheets/d/1m0XUyo6H-YHIwm-JawEbLnxdQgU4gDApt1rpXCJkbqs/edit?gid=602588258#gid=602588258"", ""EQUIPOS!G4:523"") ,15,0)"),"#REF!")</f>
        <v>#REF!</v>
      </c>
      <c r="AB8" s="36" t="str">
        <f ca="1">IFERROR(__xludf.DUMMYFUNCTION("VLOOKUP($G43, IMPORTRANGE(""https://docs.google.com/spreadsheets/d/1m0XUyo6H-YHIwm-JawEbLnxdQgU4gDApt1rpXCJkbqs/edit?gid=602588258#gid=602588258"", ""EQUIPOS!G4:523"") ,16,0)"),"#REF!")</f>
        <v>#REF!</v>
      </c>
      <c r="AC8" s="7"/>
    </row>
    <row r="9" spans="1:29" ht="42" customHeight="1">
      <c r="A9" s="7"/>
      <c r="B9" s="26">
        <v>43</v>
      </c>
      <c r="C9" s="27" t="b">
        <v>1</v>
      </c>
      <c r="D9" s="70" t="s">
        <v>58</v>
      </c>
      <c r="E9" s="27" t="s">
        <v>38</v>
      </c>
      <c r="F9" s="27" t="s">
        <v>88</v>
      </c>
      <c r="G9" s="27" t="s">
        <v>90</v>
      </c>
      <c r="H9" s="28" t="s">
        <v>89</v>
      </c>
      <c r="I9" s="27" t="s">
        <v>22</v>
      </c>
      <c r="J9" s="29">
        <v>8</v>
      </c>
      <c r="K9" s="30" t="s">
        <v>47</v>
      </c>
      <c r="L9" s="31" t="s">
        <v>91</v>
      </c>
      <c r="M9" s="32" t="s">
        <v>92</v>
      </c>
      <c r="N9" s="33" t="s">
        <v>48</v>
      </c>
      <c r="O9" s="33" t="s">
        <v>93</v>
      </c>
      <c r="P9" s="34" t="s">
        <v>94</v>
      </c>
      <c r="Q9" s="33" t="b">
        <v>0</v>
      </c>
      <c r="R9" s="33" t="s">
        <v>41</v>
      </c>
      <c r="S9" s="16" t="s">
        <v>42</v>
      </c>
      <c r="T9" s="34" t="s">
        <v>95</v>
      </c>
      <c r="U9" s="31" t="s">
        <v>67</v>
      </c>
      <c r="V9" s="27" t="s">
        <v>40</v>
      </c>
      <c r="W9" s="27" t="s">
        <v>36</v>
      </c>
      <c r="X9" s="34" t="s">
        <v>51</v>
      </c>
      <c r="Y9" s="36" t="str">
        <f ca="1">IFERROR(__xludf.DUMMYFUNCTION("VLOOKUP($G48, IMPORTRANGE(""https://docs.google.com/spreadsheets/d/1m0XUyo6H-YHIwm-JawEbLnxdQgU4gDApt1rpXCJkbqs/edit?gid=602588258#gid=602588258"", ""EQUIPOS!G4:523"") ,13,0)"),"#REF!")</f>
        <v>#REF!</v>
      </c>
      <c r="Z9" s="36" t="str">
        <f ca="1">IFERROR(__xludf.DUMMYFUNCTION("VLOOKUP($G48, IMPORTRANGE(""https://docs.google.com/spreadsheets/d/1m0XUyo6H-YHIwm-JawEbLnxdQgU4gDApt1rpXCJkbqs/edit?gid=602588258#gid=602588258"", ""EQUIPOS!G4:523"") ,14,0)"),"#REF!")</f>
        <v>#REF!</v>
      </c>
      <c r="AA9" s="36" t="str">
        <f ca="1">IFERROR(__xludf.DUMMYFUNCTION("VLOOKUP($G48, IMPORTRANGE(""https://docs.google.com/spreadsheets/d/1m0XUyo6H-YHIwm-JawEbLnxdQgU4gDApt1rpXCJkbqs/edit?gid=602588258#gid=602588258"", ""EQUIPOS!G4:523"") ,15,0)"),"#REF!")</f>
        <v>#REF!</v>
      </c>
      <c r="AB9" s="36" t="str">
        <f ca="1">IFERROR(__xludf.DUMMYFUNCTION("VLOOKUP($G48, IMPORTRANGE(""https://docs.google.com/spreadsheets/d/1m0XUyo6H-YHIwm-JawEbLnxdQgU4gDApt1rpXCJkbqs/edit?gid=602588258#gid=602588258"", ""EQUIPOS!G4:523"") ,16,0)"),"#REF!")</f>
        <v>#REF!</v>
      </c>
      <c r="AC9" s="7"/>
    </row>
    <row r="10" spans="1:29" ht="42" customHeight="1">
      <c r="A10" s="7"/>
      <c r="B10" s="26">
        <v>47</v>
      </c>
      <c r="C10" s="27" t="b">
        <v>1</v>
      </c>
      <c r="D10" s="70" t="s">
        <v>58</v>
      </c>
      <c r="E10" s="27" t="s">
        <v>38</v>
      </c>
      <c r="F10" s="27" t="s">
        <v>96</v>
      </c>
      <c r="G10" s="27" t="s">
        <v>96</v>
      </c>
      <c r="H10" s="28" t="s">
        <v>97</v>
      </c>
      <c r="I10" s="27" t="s">
        <v>22</v>
      </c>
      <c r="J10" s="29">
        <v>2</v>
      </c>
      <c r="K10" s="30" t="s">
        <v>47</v>
      </c>
      <c r="L10" s="31" t="s">
        <v>98</v>
      </c>
      <c r="M10" s="32" t="s">
        <v>99</v>
      </c>
      <c r="N10" s="33" t="s">
        <v>100</v>
      </c>
      <c r="O10" s="33" t="s">
        <v>101</v>
      </c>
      <c r="P10" s="34" t="s">
        <v>102</v>
      </c>
      <c r="Q10" s="33" t="b">
        <v>0</v>
      </c>
      <c r="R10" s="33" t="s">
        <v>41</v>
      </c>
      <c r="S10" s="16" t="s">
        <v>42</v>
      </c>
      <c r="T10" s="34" t="s">
        <v>103</v>
      </c>
      <c r="U10" s="31" t="s">
        <v>67</v>
      </c>
      <c r="V10" s="27"/>
      <c r="W10" s="27" t="s">
        <v>104</v>
      </c>
      <c r="X10" s="34" t="s">
        <v>105</v>
      </c>
      <c r="Y10" s="36" t="str">
        <f ca="1">IFERROR(__xludf.DUMMYFUNCTION("VLOOKUP($G52, IMPORTRANGE(""https://docs.google.com/spreadsheets/d/1m0XUyo6H-YHIwm-JawEbLnxdQgU4gDApt1rpXCJkbqs/edit?gid=602588258#gid=602588258"", ""EQUIPOS!G4:523"") ,13,0)"),"#REF!")</f>
        <v>#REF!</v>
      </c>
      <c r="Z10" s="36" t="str">
        <f ca="1">IFERROR(__xludf.DUMMYFUNCTION("VLOOKUP($G52, IMPORTRANGE(""https://docs.google.com/spreadsheets/d/1m0XUyo6H-YHIwm-JawEbLnxdQgU4gDApt1rpXCJkbqs/edit?gid=602588258#gid=602588258"", ""EQUIPOS!G4:523"") ,14,0)"),"#REF!")</f>
        <v>#REF!</v>
      </c>
      <c r="AA10" s="36" t="str">
        <f ca="1">IFERROR(__xludf.DUMMYFUNCTION("VLOOKUP($G52, IMPORTRANGE(""https://docs.google.com/spreadsheets/d/1m0XUyo6H-YHIwm-JawEbLnxdQgU4gDApt1rpXCJkbqs/edit?gid=602588258#gid=602588258"", ""EQUIPOS!G4:523"") ,15,0)"),"#REF!")</f>
        <v>#REF!</v>
      </c>
      <c r="AB10" s="36" t="str">
        <f ca="1">IFERROR(__xludf.DUMMYFUNCTION("VLOOKUP($G52, IMPORTRANGE(""https://docs.google.com/spreadsheets/d/1m0XUyo6H-YHIwm-JawEbLnxdQgU4gDApt1rpXCJkbqs/edit?gid=602588258#gid=602588258"", ""EQUIPOS!G4:523"") ,16,0)"),"#REF!")</f>
        <v>#REF!</v>
      </c>
      <c r="AC10" s="7"/>
    </row>
    <row r="11" spans="1:29" ht="42" customHeight="1">
      <c r="A11" s="7"/>
      <c r="B11" s="26">
        <v>50</v>
      </c>
      <c r="C11" s="27" t="b">
        <v>1</v>
      </c>
      <c r="D11" s="70" t="s">
        <v>58</v>
      </c>
      <c r="E11" s="27" t="s">
        <v>38</v>
      </c>
      <c r="F11" s="27" t="s">
        <v>106</v>
      </c>
      <c r="G11" s="27" t="s">
        <v>106</v>
      </c>
      <c r="H11" s="28" t="s">
        <v>107</v>
      </c>
      <c r="I11" s="27" t="s">
        <v>22</v>
      </c>
      <c r="J11" s="29">
        <v>4</v>
      </c>
      <c r="K11" s="30" t="s">
        <v>47</v>
      </c>
      <c r="L11" s="31" t="s">
        <v>108</v>
      </c>
      <c r="M11" s="32" t="s">
        <v>109</v>
      </c>
      <c r="N11" s="33" t="s">
        <v>110</v>
      </c>
      <c r="O11" s="33" t="s">
        <v>111</v>
      </c>
      <c r="P11" s="34" t="s">
        <v>112</v>
      </c>
      <c r="Q11" s="33" t="b">
        <v>0</v>
      </c>
      <c r="R11" s="33" t="s">
        <v>41</v>
      </c>
      <c r="S11" s="16" t="s">
        <v>42</v>
      </c>
      <c r="T11" s="34" t="s">
        <v>113</v>
      </c>
      <c r="U11" s="31" t="s">
        <v>67</v>
      </c>
      <c r="V11" s="27"/>
      <c r="W11" s="27"/>
      <c r="X11" s="34" t="s">
        <v>105</v>
      </c>
      <c r="Y11" s="36" t="str">
        <f ca="1">IFERROR(__xludf.DUMMYFUNCTION("VLOOKUP($G55, IMPORTRANGE(""https://docs.google.com/spreadsheets/d/1m0XUyo6H-YHIwm-JawEbLnxdQgU4gDApt1rpXCJkbqs/edit?gid=602588258#gid=602588258"", ""EQUIPOS!G4:523"") ,13,0)"),"#REF!")</f>
        <v>#REF!</v>
      </c>
      <c r="Z11" s="36" t="str">
        <f ca="1">IFERROR(__xludf.DUMMYFUNCTION("VLOOKUP($G55, IMPORTRANGE(""https://docs.google.com/spreadsheets/d/1m0XUyo6H-YHIwm-JawEbLnxdQgU4gDApt1rpXCJkbqs/edit?gid=602588258#gid=602588258"", ""EQUIPOS!G4:523"") ,14,0)"),"#REF!")</f>
        <v>#REF!</v>
      </c>
      <c r="AA11" s="36" t="str">
        <f ca="1">IFERROR(__xludf.DUMMYFUNCTION("VLOOKUP($G55, IMPORTRANGE(""https://docs.google.com/spreadsheets/d/1m0XUyo6H-YHIwm-JawEbLnxdQgU4gDApt1rpXCJkbqs/edit?gid=602588258#gid=602588258"", ""EQUIPOS!G4:523"") ,15,0)"),"#REF!")</f>
        <v>#REF!</v>
      </c>
      <c r="AB11" s="36" t="str">
        <f ca="1">IFERROR(__xludf.DUMMYFUNCTION("VLOOKUP($G55, IMPORTRANGE(""https://docs.google.com/spreadsheets/d/1m0XUyo6H-YHIwm-JawEbLnxdQgU4gDApt1rpXCJkbqs/edit?gid=602588258#gid=602588258"", ""EQUIPOS!G4:523"") ,16,0)"),"#REF!")</f>
        <v>#REF!</v>
      </c>
      <c r="AC11" s="7"/>
    </row>
    <row r="12" spans="1:29" ht="42" customHeight="1">
      <c r="A12" s="7"/>
      <c r="B12" s="26">
        <v>54</v>
      </c>
      <c r="C12" s="27" t="b">
        <v>1</v>
      </c>
      <c r="D12" s="70" t="s">
        <v>58</v>
      </c>
      <c r="E12" s="27" t="s">
        <v>38</v>
      </c>
      <c r="F12" s="27" t="s">
        <v>114</v>
      </c>
      <c r="G12" s="27" t="s">
        <v>115</v>
      </c>
      <c r="H12" s="28" t="s">
        <v>116</v>
      </c>
      <c r="I12" s="27" t="s">
        <v>22</v>
      </c>
      <c r="J12" s="29">
        <v>2</v>
      </c>
      <c r="K12" s="30" t="s">
        <v>47</v>
      </c>
      <c r="L12" s="31" t="s">
        <v>117</v>
      </c>
      <c r="M12" s="32" t="s">
        <v>118</v>
      </c>
      <c r="N12" s="33" t="s">
        <v>7</v>
      </c>
      <c r="O12" s="33" t="s">
        <v>119</v>
      </c>
      <c r="P12" s="34" t="s">
        <v>120</v>
      </c>
      <c r="Q12" s="33" t="b">
        <v>0</v>
      </c>
      <c r="R12" s="33" t="s">
        <v>41</v>
      </c>
      <c r="S12" s="16" t="s">
        <v>42</v>
      </c>
      <c r="T12" s="34" t="s">
        <v>121</v>
      </c>
      <c r="U12" s="31" t="s">
        <v>67</v>
      </c>
      <c r="V12" s="27"/>
      <c r="W12" s="27"/>
      <c r="X12" s="34" t="s">
        <v>105</v>
      </c>
      <c r="Y12" s="36" t="str">
        <f ca="1">IFERROR(__xludf.DUMMYFUNCTION("VLOOKUP($G59, IMPORTRANGE(""https://docs.google.com/spreadsheets/d/1m0XUyo6H-YHIwm-JawEbLnxdQgU4gDApt1rpXCJkbqs/edit?gid=602588258#gid=602588258"", ""EQUIPOS!G4:523"") ,13,0)"),"#REF!")</f>
        <v>#REF!</v>
      </c>
      <c r="Z12" s="36" t="str">
        <f ca="1">IFERROR(__xludf.DUMMYFUNCTION("VLOOKUP($G59, IMPORTRANGE(""https://docs.google.com/spreadsheets/d/1m0XUyo6H-YHIwm-JawEbLnxdQgU4gDApt1rpXCJkbqs/edit?gid=602588258#gid=602588258"", ""EQUIPOS!G4:523"") ,14,0)"),"#REF!")</f>
        <v>#REF!</v>
      </c>
      <c r="AA12" s="36" t="str">
        <f ca="1">IFERROR(__xludf.DUMMYFUNCTION("VLOOKUP($G59, IMPORTRANGE(""https://docs.google.com/spreadsheets/d/1m0XUyo6H-YHIwm-JawEbLnxdQgU4gDApt1rpXCJkbqs/edit?gid=602588258#gid=602588258"", ""EQUIPOS!G4:523"") ,15,0)"),"#REF!")</f>
        <v>#REF!</v>
      </c>
      <c r="AB12" s="36" t="str">
        <f ca="1">IFERROR(__xludf.DUMMYFUNCTION("VLOOKUP($G59, IMPORTRANGE(""https://docs.google.com/spreadsheets/d/1m0XUyo6H-YHIwm-JawEbLnxdQgU4gDApt1rpXCJkbqs/edit?gid=602588258#gid=602588258"", ""EQUIPOS!G4:523"") ,16,0)"),"#REF!")</f>
        <v>#REF!</v>
      </c>
      <c r="AC12" s="7"/>
    </row>
    <row r="13" spans="1:29" ht="42" customHeight="1">
      <c r="A13" s="7"/>
      <c r="B13" s="26">
        <v>74</v>
      </c>
      <c r="C13" s="27" t="b">
        <v>1</v>
      </c>
      <c r="D13" s="70" t="s">
        <v>58</v>
      </c>
      <c r="E13" s="27" t="s">
        <v>38</v>
      </c>
      <c r="F13" s="27" t="s">
        <v>124</v>
      </c>
      <c r="G13" s="27" t="s">
        <v>125</v>
      </c>
      <c r="H13" s="28" t="s">
        <v>126</v>
      </c>
      <c r="I13" s="27" t="s">
        <v>22</v>
      </c>
      <c r="J13" s="29">
        <v>18</v>
      </c>
      <c r="K13" s="30" t="s">
        <v>47</v>
      </c>
      <c r="L13" s="31" t="s">
        <v>127</v>
      </c>
      <c r="M13" s="32" t="s">
        <v>128</v>
      </c>
      <c r="N13" s="37" t="str">
        <f>UPPER("Creality")</f>
        <v>CREALITY</v>
      </c>
      <c r="O13" s="37" t="s">
        <v>129</v>
      </c>
      <c r="P13" s="34" t="s">
        <v>130</v>
      </c>
      <c r="Q13" s="37" t="b">
        <v>1</v>
      </c>
      <c r="R13" s="37" t="s">
        <v>49</v>
      </c>
      <c r="S13" s="16" t="s">
        <v>42</v>
      </c>
      <c r="T13" s="34" t="s">
        <v>131</v>
      </c>
      <c r="U13" s="31" t="s">
        <v>50</v>
      </c>
      <c r="V13" s="27" t="s">
        <v>132</v>
      </c>
      <c r="W13" s="27" t="s">
        <v>133</v>
      </c>
      <c r="X13" s="34" t="s">
        <v>53</v>
      </c>
      <c r="Y13" s="36" t="str">
        <f ca="1">IFERROR(__xludf.DUMMYFUNCTION("VLOOKUP($G79, IMPORTRANGE(""https://docs.google.com/spreadsheets/d/1m0XUyo6H-YHIwm-JawEbLnxdQgU4gDApt1rpXCJkbqs/edit?gid=602588258#gid=602588258"", ""EQUIPOS!G4:523"") ,13,0)"),"#REF!")</f>
        <v>#REF!</v>
      </c>
      <c r="Z13" s="36" t="str">
        <f ca="1">IFERROR(__xludf.DUMMYFUNCTION("VLOOKUP($G79, IMPORTRANGE(""https://docs.google.com/spreadsheets/d/1m0XUyo6H-YHIwm-JawEbLnxdQgU4gDApt1rpXCJkbqs/edit?gid=602588258#gid=602588258"", ""EQUIPOS!G4:523"") ,14,0)"),"#REF!")</f>
        <v>#REF!</v>
      </c>
      <c r="AA13" s="36" t="str">
        <f ca="1">IFERROR(__xludf.DUMMYFUNCTION("VLOOKUP($G79, IMPORTRANGE(""https://docs.google.com/spreadsheets/d/1m0XUyo6H-YHIwm-JawEbLnxdQgU4gDApt1rpXCJkbqs/edit?gid=602588258#gid=602588258"", ""EQUIPOS!G4:523"") ,15,0)"),"#REF!")</f>
        <v>#REF!</v>
      </c>
      <c r="AB13" s="36" t="str">
        <f ca="1">IFERROR(__xludf.DUMMYFUNCTION("VLOOKUP($G79, IMPORTRANGE(""https://docs.google.com/spreadsheets/d/1m0XUyo6H-YHIwm-JawEbLnxdQgU4gDApt1rpXCJkbqs/edit?gid=602588258#gid=602588258"", ""EQUIPOS!G4:523"") ,16,0)"),"#REF!")</f>
        <v>#REF!</v>
      </c>
      <c r="AC13" s="7"/>
    </row>
    <row r="14" spans="1:29" ht="42" customHeight="1">
      <c r="A14" s="7"/>
      <c r="B14" s="26">
        <v>98</v>
      </c>
      <c r="C14" s="27" t="b">
        <v>1</v>
      </c>
      <c r="D14" s="70" t="s">
        <v>58</v>
      </c>
      <c r="E14" s="27" t="s">
        <v>38</v>
      </c>
      <c r="F14" s="27" t="s">
        <v>138</v>
      </c>
      <c r="G14" s="27" t="s">
        <v>138</v>
      </c>
      <c r="H14" s="28" t="s">
        <v>139</v>
      </c>
      <c r="I14" s="27" t="s">
        <v>22</v>
      </c>
      <c r="J14" s="29">
        <v>2</v>
      </c>
      <c r="K14" s="30" t="s">
        <v>47</v>
      </c>
      <c r="L14" s="31" t="s">
        <v>140</v>
      </c>
      <c r="M14" s="32"/>
      <c r="N14" s="33" t="s">
        <v>110</v>
      </c>
      <c r="O14" s="33" t="s">
        <v>141</v>
      </c>
      <c r="P14" s="34" t="s">
        <v>142</v>
      </c>
      <c r="Q14" s="33" t="b">
        <v>0</v>
      </c>
      <c r="R14" s="33" t="s">
        <v>41</v>
      </c>
      <c r="S14" s="27" t="s">
        <v>42</v>
      </c>
      <c r="T14" s="34" t="s">
        <v>143</v>
      </c>
      <c r="U14" s="31" t="s">
        <v>67</v>
      </c>
      <c r="V14" s="27"/>
      <c r="W14" s="27"/>
      <c r="X14" s="34" t="s">
        <v>44</v>
      </c>
      <c r="Y14" s="36" t="str">
        <f ca="1">IFERROR(__xludf.DUMMYFUNCTION("VLOOKUP($G103, IMPORTRANGE(""https://docs.google.com/spreadsheets/d/1m0XUyo6H-YHIwm-JawEbLnxdQgU4gDApt1rpXCJkbqs/edit?gid=602588258#gid=602588258"", ""EQUIPOS!G4:523"") ,13,0)"),"#REF!")</f>
        <v>#REF!</v>
      </c>
      <c r="Z14" s="36" t="str">
        <f ca="1">IFERROR(__xludf.DUMMYFUNCTION("VLOOKUP($G103, IMPORTRANGE(""https://docs.google.com/spreadsheets/d/1m0XUyo6H-YHIwm-JawEbLnxdQgU4gDApt1rpXCJkbqs/edit?gid=602588258#gid=602588258"", ""EQUIPOS!G4:523"") ,14,0)"),"#REF!")</f>
        <v>#REF!</v>
      </c>
      <c r="AA14" s="36" t="str">
        <f ca="1">IFERROR(__xludf.DUMMYFUNCTION("VLOOKUP($G103, IMPORTRANGE(""https://docs.google.com/spreadsheets/d/1m0XUyo6H-YHIwm-JawEbLnxdQgU4gDApt1rpXCJkbqs/edit?gid=602588258#gid=602588258"", ""EQUIPOS!G4:523"") ,15,0)"),"#REF!")</f>
        <v>#REF!</v>
      </c>
      <c r="AB14" s="36" t="str">
        <f ca="1">IFERROR(__xludf.DUMMYFUNCTION("VLOOKUP($G103, IMPORTRANGE(""https://docs.google.com/spreadsheets/d/1m0XUyo6H-YHIwm-JawEbLnxdQgU4gDApt1rpXCJkbqs/edit?gid=602588258#gid=602588258"", ""EQUIPOS!G4:523"") ,16,0)"),"#REF!")</f>
        <v>#REF!</v>
      </c>
      <c r="AC14" s="7"/>
    </row>
    <row r="15" spans="1:29" ht="42" customHeight="1">
      <c r="A15" s="7"/>
      <c r="B15" s="26">
        <v>99</v>
      </c>
      <c r="C15" s="27" t="b">
        <v>1</v>
      </c>
      <c r="D15" s="70" t="s">
        <v>58</v>
      </c>
      <c r="E15" s="27" t="s">
        <v>38</v>
      </c>
      <c r="F15" s="27" t="s">
        <v>144</v>
      </c>
      <c r="G15" s="27" t="s">
        <v>144</v>
      </c>
      <c r="H15" s="28" t="s">
        <v>145</v>
      </c>
      <c r="I15" s="27" t="s">
        <v>22</v>
      </c>
      <c r="J15" s="29">
        <v>8</v>
      </c>
      <c r="K15" s="30" t="s">
        <v>47</v>
      </c>
      <c r="L15" s="31" t="s">
        <v>146</v>
      </c>
      <c r="M15" s="32" t="s">
        <v>147</v>
      </c>
      <c r="N15" s="33" t="s">
        <v>148</v>
      </c>
      <c r="O15" s="33" t="s">
        <v>149</v>
      </c>
      <c r="P15" s="34" t="s">
        <v>150</v>
      </c>
      <c r="Q15" s="33" t="b">
        <v>0</v>
      </c>
      <c r="R15" s="33" t="s">
        <v>41</v>
      </c>
      <c r="S15" s="27" t="s">
        <v>42</v>
      </c>
      <c r="T15" s="34" t="s">
        <v>151</v>
      </c>
      <c r="U15" s="31" t="s">
        <v>67</v>
      </c>
      <c r="V15" s="27"/>
      <c r="W15" s="41" t="s">
        <v>55</v>
      </c>
      <c r="X15" s="34" t="s">
        <v>44</v>
      </c>
      <c r="Y15" s="36" t="str">
        <f ca="1">IFERROR(__xludf.DUMMYFUNCTION("VLOOKUP($G104, IMPORTRANGE(""https://docs.google.com/spreadsheets/d/1m0XUyo6H-YHIwm-JawEbLnxdQgU4gDApt1rpXCJkbqs/edit?gid=602588258#gid=602588258"", ""EQUIPOS!G4:523"") ,13,0)"),"#REF!")</f>
        <v>#REF!</v>
      </c>
      <c r="Z15" s="36" t="str">
        <f ca="1">IFERROR(__xludf.DUMMYFUNCTION("VLOOKUP($G104, IMPORTRANGE(""https://docs.google.com/spreadsheets/d/1m0XUyo6H-YHIwm-JawEbLnxdQgU4gDApt1rpXCJkbqs/edit?gid=602588258#gid=602588258"", ""EQUIPOS!G4:523"") ,14,0)"),"#REF!")</f>
        <v>#REF!</v>
      </c>
      <c r="AA15" s="36" t="str">
        <f ca="1">IFERROR(__xludf.DUMMYFUNCTION("VLOOKUP($G104, IMPORTRANGE(""https://docs.google.com/spreadsheets/d/1m0XUyo6H-YHIwm-JawEbLnxdQgU4gDApt1rpXCJkbqs/edit?gid=602588258#gid=602588258"", ""EQUIPOS!G4:523"") ,15,0)"),"#REF!")</f>
        <v>#REF!</v>
      </c>
      <c r="AB15" s="36" t="str">
        <f ca="1">IFERROR(__xludf.DUMMYFUNCTION("VLOOKUP($G104, IMPORTRANGE(""https://docs.google.com/spreadsheets/d/1m0XUyo6H-YHIwm-JawEbLnxdQgU4gDApt1rpXCJkbqs/edit?gid=602588258#gid=602588258"", ""EQUIPOS!G4:523"") ,16,0)"),"#REF!")</f>
        <v>#REF!</v>
      </c>
      <c r="AC15" s="7"/>
    </row>
    <row r="16" spans="1:29" ht="42" customHeight="1">
      <c r="A16" s="7"/>
      <c r="B16" s="26">
        <v>112</v>
      </c>
      <c r="C16" s="27" t="b">
        <v>1</v>
      </c>
      <c r="D16" s="70" t="s">
        <v>58</v>
      </c>
      <c r="E16" s="27" t="s">
        <v>38</v>
      </c>
      <c r="F16" s="27" t="s">
        <v>152</v>
      </c>
      <c r="G16" s="27" t="s">
        <v>152</v>
      </c>
      <c r="H16" s="28" t="s">
        <v>153</v>
      </c>
      <c r="I16" s="27" t="s">
        <v>22</v>
      </c>
      <c r="J16" s="29">
        <v>2</v>
      </c>
      <c r="K16" s="30" t="s">
        <v>47</v>
      </c>
      <c r="L16" s="31" t="s">
        <v>154</v>
      </c>
      <c r="M16" s="32" t="s">
        <v>147</v>
      </c>
      <c r="N16" s="33" t="s">
        <v>148</v>
      </c>
      <c r="O16" s="33" t="s">
        <v>155</v>
      </c>
      <c r="P16" s="34" t="s">
        <v>156</v>
      </c>
      <c r="Q16" s="33" t="b">
        <v>0</v>
      </c>
      <c r="R16" s="33" t="s">
        <v>41</v>
      </c>
      <c r="S16" s="27" t="s">
        <v>42</v>
      </c>
      <c r="T16" s="34" t="s">
        <v>157</v>
      </c>
      <c r="U16" s="31" t="s">
        <v>67</v>
      </c>
      <c r="V16" s="27" t="s">
        <v>158</v>
      </c>
      <c r="W16" s="27" t="s">
        <v>55</v>
      </c>
      <c r="X16" s="34" t="s">
        <v>44</v>
      </c>
      <c r="Y16" s="36" t="str">
        <f ca="1">IFERROR(__xludf.DUMMYFUNCTION("VLOOKUP($G117, IMPORTRANGE(""https://docs.google.com/spreadsheets/d/1m0XUyo6H-YHIwm-JawEbLnxdQgU4gDApt1rpXCJkbqs/edit?gid=602588258#gid=602588258"", ""EQUIPOS!G4:523"") ,13,0)"),"#REF!")</f>
        <v>#REF!</v>
      </c>
      <c r="Z16" s="36" t="str">
        <f ca="1">IFERROR(__xludf.DUMMYFUNCTION("VLOOKUP($G117, IMPORTRANGE(""https://docs.google.com/spreadsheets/d/1m0XUyo6H-YHIwm-JawEbLnxdQgU4gDApt1rpXCJkbqs/edit?gid=602588258#gid=602588258"", ""EQUIPOS!G4:523"") ,14,0)"),"#REF!")</f>
        <v>#REF!</v>
      </c>
      <c r="AA16" s="36" t="str">
        <f ca="1">IFERROR(__xludf.DUMMYFUNCTION("VLOOKUP($G117, IMPORTRANGE(""https://docs.google.com/spreadsheets/d/1m0XUyo6H-YHIwm-JawEbLnxdQgU4gDApt1rpXCJkbqs/edit?gid=602588258#gid=602588258"", ""EQUIPOS!G4:523"") ,15,0)"),"#REF!")</f>
        <v>#REF!</v>
      </c>
      <c r="AB16" s="36" t="str">
        <f ca="1">IFERROR(__xludf.DUMMYFUNCTION("VLOOKUP($G117, IMPORTRANGE(""https://docs.google.com/spreadsheets/d/1m0XUyo6H-YHIwm-JawEbLnxdQgU4gDApt1rpXCJkbqs/edit?gid=602588258#gid=602588258"", ""EQUIPOS!G4:523"") ,16,0)"),"#REF!")</f>
        <v>#REF!</v>
      </c>
      <c r="AC16" s="7"/>
    </row>
    <row r="17" spans="1:29" ht="42" customHeight="1">
      <c r="A17" s="7"/>
      <c r="B17" s="26">
        <v>113</v>
      </c>
      <c r="C17" s="27" t="b">
        <v>1</v>
      </c>
      <c r="D17" s="70" t="s">
        <v>58</v>
      </c>
      <c r="E17" s="27" t="s">
        <v>38</v>
      </c>
      <c r="F17" s="27" t="s">
        <v>159</v>
      </c>
      <c r="G17" s="27" t="s">
        <v>159</v>
      </c>
      <c r="H17" s="28" t="s">
        <v>160</v>
      </c>
      <c r="I17" s="27" t="s">
        <v>22</v>
      </c>
      <c r="J17" s="29">
        <v>2</v>
      </c>
      <c r="K17" s="30" t="s">
        <v>47</v>
      </c>
      <c r="L17" s="31" t="s">
        <v>161</v>
      </c>
      <c r="M17" s="32" t="s">
        <v>109</v>
      </c>
      <c r="N17" s="33" t="s">
        <v>162</v>
      </c>
      <c r="O17" s="33" t="s">
        <v>163</v>
      </c>
      <c r="P17" s="34" t="s">
        <v>164</v>
      </c>
      <c r="Q17" s="33" t="b">
        <v>0</v>
      </c>
      <c r="R17" s="33" t="s">
        <v>41</v>
      </c>
      <c r="S17" s="27" t="s">
        <v>42</v>
      </c>
      <c r="T17" s="34" t="s">
        <v>165</v>
      </c>
      <c r="U17" s="31" t="s">
        <v>67</v>
      </c>
      <c r="V17" s="27"/>
      <c r="W17" s="44" t="s">
        <v>166</v>
      </c>
      <c r="X17" s="34" t="s">
        <v>44</v>
      </c>
      <c r="Y17" s="36" t="str">
        <f ca="1">IFERROR(__xludf.DUMMYFUNCTION("VLOOKUP($G118, IMPORTRANGE(""https://docs.google.com/spreadsheets/d/1m0XUyo6H-YHIwm-JawEbLnxdQgU4gDApt1rpXCJkbqs/edit?gid=602588258#gid=602588258"", ""EQUIPOS!G4:523"") ,13,0)"),"#REF!")</f>
        <v>#REF!</v>
      </c>
      <c r="Z17" s="36" t="str">
        <f ca="1">IFERROR(__xludf.DUMMYFUNCTION("VLOOKUP($G118, IMPORTRANGE(""https://docs.google.com/spreadsheets/d/1m0XUyo6H-YHIwm-JawEbLnxdQgU4gDApt1rpXCJkbqs/edit?gid=602588258#gid=602588258"", ""EQUIPOS!G4:523"") ,14,0)"),"#REF!")</f>
        <v>#REF!</v>
      </c>
      <c r="AA17" s="36" t="str">
        <f ca="1">IFERROR(__xludf.DUMMYFUNCTION("VLOOKUP($G118, IMPORTRANGE(""https://docs.google.com/spreadsheets/d/1m0XUyo6H-YHIwm-JawEbLnxdQgU4gDApt1rpXCJkbqs/edit?gid=602588258#gid=602588258"", ""EQUIPOS!G4:523"") ,15,0)"),"#REF!")</f>
        <v>#REF!</v>
      </c>
      <c r="AB17" s="36" t="str">
        <f ca="1">IFERROR(__xludf.DUMMYFUNCTION("VLOOKUP($G118, IMPORTRANGE(""https://docs.google.com/spreadsheets/d/1m0XUyo6H-YHIwm-JawEbLnxdQgU4gDApt1rpXCJkbqs/edit?gid=602588258#gid=602588258"", ""EQUIPOS!G4:523"") ,16,0)"),"#REF!")</f>
        <v>#REF!</v>
      </c>
      <c r="AC17" s="7"/>
    </row>
    <row r="18" spans="1:29" ht="42" customHeight="1">
      <c r="A18" s="7"/>
      <c r="B18" s="26">
        <v>156</v>
      </c>
      <c r="C18" s="27" t="b">
        <v>1</v>
      </c>
      <c r="D18" s="70" t="s">
        <v>58</v>
      </c>
      <c r="E18" s="27" t="s">
        <v>38</v>
      </c>
      <c r="F18" s="27" t="s">
        <v>168</v>
      </c>
      <c r="G18" s="27" t="s">
        <v>171</v>
      </c>
      <c r="H18" s="28" t="s">
        <v>169</v>
      </c>
      <c r="I18" s="27" t="s">
        <v>22</v>
      </c>
      <c r="J18" s="29">
        <v>2</v>
      </c>
      <c r="K18" s="30" t="s">
        <v>47</v>
      </c>
      <c r="L18" s="31" t="s">
        <v>172</v>
      </c>
      <c r="M18" s="32" t="s">
        <v>40</v>
      </c>
      <c r="N18" s="33" t="s">
        <v>123</v>
      </c>
      <c r="O18" s="33" t="s">
        <v>167</v>
      </c>
      <c r="P18" s="34" t="s">
        <v>170</v>
      </c>
      <c r="Q18" s="33" t="b">
        <v>0</v>
      </c>
      <c r="R18" s="33" t="s">
        <v>41</v>
      </c>
      <c r="S18" s="16" t="s">
        <v>42</v>
      </c>
      <c r="T18" s="34" t="s">
        <v>173</v>
      </c>
      <c r="U18" s="31" t="s">
        <v>67</v>
      </c>
      <c r="V18" s="48"/>
      <c r="W18" s="27"/>
      <c r="X18" s="34" t="s">
        <v>53</v>
      </c>
      <c r="Y18" s="36" t="str">
        <f ca="1">IFERROR(__xludf.DUMMYFUNCTION("VLOOKUP($G161, IMPORTRANGE(""https://docs.google.com/spreadsheets/d/1m0XUyo6H-YHIwm-JawEbLnxdQgU4gDApt1rpXCJkbqs/edit?gid=602588258#gid=602588258"", ""EQUIPOS!G4:523"") ,13,0)"),"#REF!")</f>
        <v>#REF!</v>
      </c>
      <c r="Z18" s="36" t="str">
        <f ca="1">IFERROR(__xludf.DUMMYFUNCTION("VLOOKUP($G161, IMPORTRANGE(""https://docs.google.com/spreadsheets/d/1m0XUyo6H-YHIwm-JawEbLnxdQgU4gDApt1rpXCJkbqs/edit?gid=602588258#gid=602588258"", ""EQUIPOS!G4:523"") ,14,0)"),"#REF!")</f>
        <v>#REF!</v>
      </c>
      <c r="AA18" s="36" t="str">
        <f ca="1">IFERROR(__xludf.DUMMYFUNCTION("VLOOKUP($G161, IMPORTRANGE(""https://docs.google.com/spreadsheets/d/1m0XUyo6H-YHIwm-JawEbLnxdQgU4gDApt1rpXCJkbqs/edit?gid=602588258#gid=602588258"", ""EQUIPOS!G4:523"") ,15,0)"),"#REF!")</f>
        <v>#REF!</v>
      </c>
      <c r="AB18" s="36" t="str">
        <f ca="1">IFERROR(__xludf.DUMMYFUNCTION("VLOOKUP($G161, IMPORTRANGE(""https://docs.google.com/spreadsheets/d/1m0XUyo6H-YHIwm-JawEbLnxdQgU4gDApt1rpXCJkbqs/edit?gid=602588258#gid=602588258"", ""EQUIPOS!G4:523"") ,16,0)"),"#REF!")</f>
        <v>#REF!</v>
      </c>
      <c r="AC18" s="7"/>
    </row>
    <row r="19" spans="1:29" ht="42" customHeight="1">
      <c r="A19" s="7"/>
      <c r="B19" s="26">
        <v>168</v>
      </c>
      <c r="C19" s="27" t="b">
        <v>1</v>
      </c>
      <c r="D19" s="70" t="s">
        <v>58</v>
      </c>
      <c r="E19" s="27" t="s">
        <v>38</v>
      </c>
      <c r="F19" s="27" t="s">
        <v>175</v>
      </c>
      <c r="G19" s="27" t="s">
        <v>175</v>
      </c>
      <c r="H19" s="28" t="s">
        <v>176</v>
      </c>
      <c r="I19" s="27" t="s">
        <v>22</v>
      </c>
      <c r="J19" s="29">
        <v>4</v>
      </c>
      <c r="K19" s="30" t="s">
        <v>47</v>
      </c>
      <c r="L19" s="31" t="s">
        <v>177</v>
      </c>
      <c r="M19" s="32" t="s">
        <v>178</v>
      </c>
      <c r="N19" s="33" t="s">
        <v>69</v>
      </c>
      <c r="O19" s="33" t="s">
        <v>179</v>
      </c>
      <c r="P19" s="34" t="s">
        <v>180</v>
      </c>
      <c r="Q19" s="33" t="b">
        <v>0</v>
      </c>
      <c r="R19" s="33" t="s">
        <v>41</v>
      </c>
      <c r="S19" s="16" t="s">
        <v>42</v>
      </c>
      <c r="T19" s="34" t="s">
        <v>181</v>
      </c>
      <c r="U19" s="31" t="s">
        <v>67</v>
      </c>
      <c r="V19" s="27"/>
      <c r="W19" s="27"/>
      <c r="X19" s="34" t="s">
        <v>54</v>
      </c>
      <c r="Y19" s="36" t="str">
        <f ca="1">IFERROR(__xludf.DUMMYFUNCTION("VLOOKUP($G173, IMPORTRANGE(""https://docs.google.com/spreadsheets/d/1m0XUyo6H-YHIwm-JawEbLnxdQgU4gDApt1rpXCJkbqs/edit?gid=602588258#gid=602588258"", ""EQUIPOS!G4:523"") ,13,0)"),"#REF!")</f>
        <v>#REF!</v>
      </c>
      <c r="Z19" s="36" t="str">
        <f ca="1">IFERROR(__xludf.DUMMYFUNCTION("VLOOKUP($G173, IMPORTRANGE(""https://docs.google.com/spreadsheets/d/1m0XUyo6H-YHIwm-JawEbLnxdQgU4gDApt1rpXCJkbqs/edit?gid=602588258#gid=602588258"", ""EQUIPOS!G4:523"") ,14,0)"),"#REF!")</f>
        <v>#REF!</v>
      </c>
      <c r="AA19" s="36" t="str">
        <f ca="1">IFERROR(__xludf.DUMMYFUNCTION("VLOOKUP($G173, IMPORTRANGE(""https://docs.google.com/spreadsheets/d/1m0XUyo6H-YHIwm-JawEbLnxdQgU4gDApt1rpXCJkbqs/edit?gid=602588258#gid=602588258"", ""EQUIPOS!G4:523"") ,15,0)"),"#REF!")</f>
        <v>#REF!</v>
      </c>
      <c r="AB19" s="36" t="str">
        <f ca="1">IFERROR(__xludf.DUMMYFUNCTION("VLOOKUP($G173, IMPORTRANGE(""https://docs.google.com/spreadsheets/d/1m0XUyo6H-YHIwm-JawEbLnxdQgU4gDApt1rpXCJkbqs/edit?gid=602588258#gid=602588258"", ""EQUIPOS!G4:523"") ,16,0)"),"#REF!")</f>
        <v>#REF!</v>
      </c>
      <c r="AC19" s="7"/>
    </row>
    <row r="20" spans="1:29" ht="42" customHeight="1">
      <c r="A20" s="7"/>
      <c r="B20" s="26">
        <v>170</v>
      </c>
      <c r="C20" s="27" t="b">
        <v>1</v>
      </c>
      <c r="D20" s="70" t="s">
        <v>58</v>
      </c>
      <c r="E20" s="27" t="s">
        <v>38</v>
      </c>
      <c r="F20" s="27" t="s">
        <v>182</v>
      </c>
      <c r="G20" s="27" t="s">
        <v>182</v>
      </c>
      <c r="H20" s="28" t="s">
        <v>183</v>
      </c>
      <c r="I20" s="27" t="s">
        <v>22</v>
      </c>
      <c r="J20" s="29">
        <v>2</v>
      </c>
      <c r="K20" s="30" t="s">
        <v>47</v>
      </c>
      <c r="L20" s="39" t="s">
        <v>184</v>
      </c>
      <c r="M20" s="32" t="s">
        <v>40</v>
      </c>
      <c r="N20" s="33" t="s">
        <v>185</v>
      </c>
      <c r="O20" s="33" t="s">
        <v>186</v>
      </c>
      <c r="P20" s="51" t="s">
        <v>187</v>
      </c>
      <c r="Q20" s="33" t="b">
        <v>0</v>
      </c>
      <c r="R20" s="33" t="s">
        <v>41</v>
      </c>
      <c r="S20" s="27" t="s">
        <v>42</v>
      </c>
      <c r="T20" s="34" t="s">
        <v>188</v>
      </c>
      <c r="U20" s="31" t="s">
        <v>67</v>
      </c>
      <c r="V20" s="27"/>
      <c r="W20" s="27"/>
      <c r="X20" s="34" t="s">
        <v>54</v>
      </c>
      <c r="Y20" s="36" t="str">
        <f ca="1">IFERROR(__xludf.DUMMYFUNCTION("VLOOKUP($G175, IMPORTRANGE(""https://docs.google.com/spreadsheets/d/1m0XUyo6H-YHIwm-JawEbLnxdQgU4gDApt1rpXCJkbqs/edit?gid=602588258#gid=602588258"", ""EQUIPOS!G4:523"") ,13,0)"),"#REF!")</f>
        <v>#REF!</v>
      </c>
      <c r="Z20" s="36" t="str">
        <f ca="1">IFERROR(__xludf.DUMMYFUNCTION("VLOOKUP($G175, IMPORTRANGE(""https://docs.google.com/spreadsheets/d/1m0XUyo6H-YHIwm-JawEbLnxdQgU4gDApt1rpXCJkbqs/edit?gid=602588258#gid=602588258"", ""EQUIPOS!G4:523"") ,14,0)"),"#REF!")</f>
        <v>#REF!</v>
      </c>
      <c r="AA20" s="36" t="str">
        <f ca="1">IFERROR(__xludf.DUMMYFUNCTION("VLOOKUP($G175, IMPORTRANGE(""https://docs.google.com/spreadsheets/d/1m0XUyo6H-YHIwm-JawEbLnxdQgU4gDApt1rpXCJkbqs/edit?gid=602588258#gid=602588258"", ""EQUIPOS!G4:523"") ,15,0)"),"#REF!")</f>
        <v>#REF!</v>
      </c>
      <c r="AB20" s="36" t="str">
        <f ca="1">IFERROR(__xludf.DUMMYFUNCTION("VLOOKUP($G175, IMPORTRANGE(""https://docs.google.com/spreadsheets/d/1m0XUyo6H-YHIwm-JawEbLnxdQgU4gDApt1rpXCJkbqs/edit?gid=602588258#gid=602588258"", ""EQUIPOS!G4:523"") ,16,0)"),"#REF!")</f>
        <v>#REF!</v>
      </c>
      <c r="AC20" s="7"/>
    </row>
    <row r="21" spans="1:29" ht="42" customHeight="1">
      <c r="A21" s="7"/>
      <c r="B21" s="26">
        <v>190</v>
      </c>
      <c r="C21" s="27" t="b">
        <v>1</v>
      </c>
      <c r="D21" s="70" t="s">
        <v>58</v>
      </c>
      <c r="E21" s="27" t="s">
        <v>38</v>
      </c>
      <c r="F21" s="27" t="s">
        <v>190</v>
      </c>
      <c r="G21" s="27" t="s">
        <v>190</v>
      </c>
      <c r="H21" s="28" t="s">
        <v>191</v>
      </c>
      <c r="I21" s="27" t="s">
        <v>22</v>
      </c>
      <c r="J21" s="29">
        <v>2</v>
      </c>
      <c r="K21" s="30" t="s">
        <v>47</v>
      </c>
      <c r="L21" s="39" t="s">
        <v>192</v>
      </c>
      <c r="M21" s="32" t="s">
        <v>193</v>
      </c>
      <c r="N21" s="33" t="s">
        <v>194</v>
      </c>
      <c r="O21" s="33" t="s">
        <v>195</v>
      </c>
      <c r="P21" s="34" t="s">
        <v>196</v>
      </c>
      <c r="Q21" s="33" t="b">
        <v>0</v>
      </c>
      <c r="R21" s="33" t="s">
        <v>41</v>
      </c>
      <c r="S21" s="16" t="s">
        <v>42</v>
      </c>
      <c r="T21" s="34" t="s">
        <v>197</v>
      </c>
      <c r="U21" s="31" t="s">
        <v>67</v>
      </c>
      <c r="V21" s="27"/>
      <c r="W21" s="27"/>
      <c r="X21" s="34" t="s">
        <v>51</v>
      </c>
      <c r="Y21" s="36" t="str">
        <f ca="1">IFERROR(__xludf.DUMMYFUNCTION("VLOOKUP($G195, IMPORTRANGE(""https://docs.google.com/spreadsheets/d/1m0XUyo6H-YHIwm-JawEbLnxdQgU4gDApt1rpXCJkbqs/edit?gid=602588258#gid=602588258"", ""EQUIPOS!G4:523"") ,13,0)"),"#REF!")</f>
        <v>#REF!</v>
      </c>
      <c r="Z21" s="36" t="str">
        <f ca="1">IFERROR(__xludf.DUMMYFUNCTION("VLOOKUP($G195, IMPORTRANGE(""https://docs.google.com/spreadsheets/d/1m0XUyo6H-YHIwm-JawEbLnxdQgU4gDApt1rpXCJkbqs/edit?gid=602588258#gid=602588258"", ""EQUIPOS!G4:523"") ,14,0)"),"#REF!")</f>
        <v>#REF!</v>
      </c>
      <c r="AA21" s="36" t="str">
        <f ca="1">IFERROR(__xludf.DUMMYFUNCTION("VLOOKUP($G195, IMPORTRANGE(""https://docs.google.com/spreadsheets/d/1m0XUyo6H-YHIwm-JawEbLnxdQgU4gDApt1rpXCJkbqs/edit?gid=602588258#gid=602588258"", ""EQUIPOS!G4:523"") ,15,0)"),"#REF!")</f>
        <v>#REF!</v>
      </c>
      <c r="AB21" s="36" t="str">
        <f ca="1">IFERROR(__xludf.DUMMYFUNCTION("VLOOKUP($G195, IMPORTRANGE(""https://docs.google.com/spreadsheets/d/1m0XUyo6H-YHIwm-JawEbLnxdQgU4gDApt1rpXCJkbqs/edit?gid=602588258#gid=602588258"", ""EQUIPOS!G4:523"") ,16,0)"),"#REF!")</f>
        <v>#REF!</v>
      </c>
      <c r="AC21" s="7"/>
    </row>
    <row r="22" spans="1:29" ht="42" customHeight="1">
      <c r="A22" s="7"/>
      <c r="B22" s="26">
        <v>192</v>
      </c>
      <c r="C22" s="27" t="b">
        <v>1</v>
      </c>
      <c r="D22" s="70" t="s">
        <v>58</v>
      </c>
      <c r="E22" s="27" t="s">
        <v>38</v>
      </c>
      <c r="F22" s="27" t="s">
        <v>198</v>
      </c>
      <c r="G22" s="27" t="s">
        <v>198</v>
      </c>
      <c r="H22" s="28" t="s">
        <v>199</v>
      </c>
      <c r="I22" s="27" t="s">
        <v>22</v>
      </c>
      <c r="J22" s="29">
        <v>2</v>
      </c>
      <c r="K22" s="30" t="s">
        <v>47</v>
      </c>
      <c r="L22" s="39" t="s">
        <v>200</v>
      </c>
      <c r="M22" s="32" t="s">
        <v>40</v>
      </c>
      <c r="N22" s="33" t="s">
        <v>48</v>
      </c>
      <c r="O22" s="33" t="s">
        <v>201</v>
      </c>
      <c r="P22" s="34" t="s">
        <v>202</v>
      </c>
      <c r="Q22" s="33" t="b">
        <v>0</v>
      </c>
      <c r="R22" s="33" t="s">
        <v>41</v>
      </c>
      <c r="S22" s="16" t="s">
        <v>42</v>
      </c>
      <c r="T22" s="34" t="s">
        <v>203</v>
      </c>
      <c r="U22" s="31" t="s">
        <v>67</v>
      </c>
      <c r="V22" s="45" t="s">
        <v>40</v>
      </c>
      <c r="W22" s="27" t="s">
        <v>55</v>
      </c>
      <c r="X22" s="34" t="s">
        <v>51</v>
      </c>
      <c r="Y22" s="36" t="str">
        <f ca="1">IFERROR(__xludf.DUMMYFUNCTION("VLOOKUP($G197, IMPORTRANGE(""https://docs.google.com/spreadsheets/d/1m0XUyo6H-YHIwm-JawEbLnxdQgU4gDApt1rpXCJkbqs/edit?gid=602588258#gid=602588258"", ""EQUIPOS!G4:523"") ,13,0)"),"#REF!")</f>
        <v>#REF!</v>
      </c>
      <c r="Z22" s="36" t="str">
        <f ca="1">IFERROR(__xludf.DUMMYFUNCTION("VLOOKUP($G197, IMPORTRANGE(""https://docs.google.com/spreadsheets/d/1m0XUyo6H-YHIwm-JawEbLnxdQgU4gDApt1rpXCJkbqs/edit?gid=602588258#gid=602588258"", ""EQUIPOS!G4:523"") ,14,0)"),"#REF!")</f>
        <v>#REF!</v>
      </c>
      <c r="AA22" s="36" t="str">
        <f ca="1">IFERROR(__xludf.DUMMYFUNCTION("VLOOKUP($G197, IMPORTRANGE(""https://docs.google.com/spreadsheets/d/1m0XUyo6H-YHIwm-JawEbLnxdQgU4gDApt1rpXCJkbqs/edit?gid=602588258#gid=602588258"", ""EQUIPOS!G4:523"") ,15,0)"),"#REF!")</f>
        <v>#REF!</v>
      </c>
      <c r="AB22" s="36" t="str">
        <f ca="1">IFERROR(__xludf.DUMMYFUNCTION("VLOOKUP($G197, IMPORTRANGE(""https://docs.google.com/spreadsheets/d/1m0XUyo6H-YHIwm-JawEbLnxdQgU4gDApt1rpXCJkbqs/edit?gid=602588258#gid=602588258"", ""EQUIPOS!G4:523"") ,16,0)"),"#REF!")</f>
        <v>#REF!</v>
      </c>
      <c r="AC22" s="7"/>
    </row>
    <row r="23" spans="1:29" ht="42" customHeight="1">
      <c r="A23" s="7"/>
      <c r="B23" s="26">
        <v>193</v>
      </c>
      <c r="C23" s="27" t="b">
        <v>1</v>
      </c>
      <c r="D23" s="70" t="s">
        <v>58</v>
      </c>
      <c r="E23" s="27" t="s">
        <v>38</v>
      </c>
      <c r="F23" s="27" t="s">
        <v>204</v>
      </c>
      <c r="G23" s="27" t="s">
        <v>204</v>
      </c>
      <c r="H23" s="28" t="s">
        <v>205</v>
      </c>
      <c r="I23" s="27" t="s">
        <v>22</v>
      </c>
      <c r="J23" s="29">
        <v>2</v>
      </c>
      <c r="K23" s="30" t="s">
        <v>47</v>
      </c>
      <c r="L23" s="31" t="s">
        <v>206</v>
      </c>
      <c r="M23" s="32" t="s">
        <v>207</v>
      </c>
      <c r="N23" s="33" t="s">
        <v>208</v>
      </c>
      <c r="O23" s="33" t="s">
        <v>209</v>
      </c>
      <c r="P23" s="34" t="s">
        <v>210</v>
      </c>
      <c r="Q23" s="33" t="b">
        <v>0</v>
      </c>
      <c r="R23" s="33" t="s">
        <v>41</v>
      </c>
      <c r="S23" s="16" t="s">
        <v>42</v>
      </c>
      <c r="T23" s="34" t="s">
        <v>211</v>
      </c>
      <c r="U23" s="31" t="s">
        <v>67</v>
      </c>
      <c r="V23" s="45"/>
      <c r="W23" s="27"/>
      <c r="X23" s="34" t="s">
        <v>54</v>
      </c>
      <c r="Y23" s="36" t="str">
        <f ca="1">IFERROR(__xludf.DUMMYFUNCTION("VLOOKUP($G198, IMPORTRANGE(""https://docs.google.com/spreadsheets/d/1m0XUyo6H-YHIwm-JawEbLnxdQgU4gDApt1rpXCJkbqs/edit?gid=602588258#gid=602588258"", ""EQUIPOS!G4:523"") ,13,0)"),"#REF!")</f>
        <v>#REF!</v>
      </c>
      <c r="Z23" s="36" t="str">
        <f ca="1">IFERROR(__xludf.DUMMYFUNCTION("VLOOKUP($G198, IMPORTRANGE(""https://docs.google.com/spreadsheets/d/1m0XUyo6H-YHIwm-JawEbLnxdQgU4gDApt1rpXCJkbqs/edit?gid=602588258#gid=602588258"", ""EQUIPOS!G4:523"") ,14,0)"),"#REF!")</f>
        <v>#REF!</v>
      </c>
      <c r="AA23" s="36" t="str">
        <f ca="1">IFERROR(__xludf.DUMMYFUNCTION("VLOOKUP($G198, IMPORTRANGE(""https://docs.google.com/spreadsheets/d/1m0XUyo6H-YHIwm-JawEbLnxdQgU4gDApt1rpXCJkbqs/edit?gid=602588258#gid=602588258"", ""EQUIPOS!G4:523"") ,15,0)"),"#REF!")</f>
        <v>#REF!</v>
      </c>
      <c r="AB23" s="36" t="str">
        <f ca="1">IFERROR(__xludf.DUMMYFUNCTION("VLOOKUP($G198, IMPORTRANGE(""https://docs.google.com/spreadsheets/d/1m0XUyo6H-YHIwm-JawEbLnxdQgU4gDApt1rpXCJkbqs/edit?gid=602588258#gid=602588258"", ""EQUIPOS!G4:523"") ,16,0)"),"#REF!")</f>
        <v>#REF!</v>
      </c>
      <c r="AC23" s="7"/>
    </row>
    <row r="24" spans="1:29" ht="42" customHeight="1">
      <c r="A24" s="7"/>
      <c r="B24" s="26">
        <v>201</v>
      </c>
      <c r="C24" s="27" t="b">
        <v>1</v>
      </c>
      <c r="D24" s="70" t="s">
        <v>58</v>
      </c>
      <c r="E24" s="27" t="s">
        <v>38</v>
      </c>
      <c r="F24" s="27" t="s">
        <v>212</v>
      </c>
      <c r="G24" s="27" t="s">
        <v>212</v>
      </c>
      <c r="H24" s="28" t="s">
        <v>213</v>
      </c>
      <c r="I24" s="27" t="s">
        <v>22</v>
      </c>
      <c r="J24" s="29">
        <v>2</v>
      </c>
      <c r="K24" s="30" t="s">
        <v>47</v>
      </c>
      <c r="L24" s="31" t="s">
        <v>214</v>
      </c>
      <c r="M24" s="32" t="s">
        <v>215</v>
      </c>
      <c r="N24" s="33" t="s">
        <v>48</v>
      </c>
      <c r="O24" s="33" t="s">
        <v>216</v>
      </c>
      <c r="P24" s="34" t="s">
        <v>217</v>
      </c>
      <c r="Q24" s="33" t="b">
        <v>0</v>
      </c>
      <c r="R24" s="33" t="s">
        <v>41</v>
      </c>
      <c r="S24" s="27" t="s">
        <v>42</v>
      </c>
      <c r="T24" s="34" t="s">
        <v>218</v>
      </c>
      <c r="U24" s="31" t="s">
        <v>67</v>
      </c>
      <c r="V24" s="45" t="s">
        <v>40</v>
      </c>
      <c r="W24" s="27" t="s">
        <v>55</v>
      </c>
      <c r="X24" s="34" t="s">
        <v>51</v>
      </c>
      <c r="Y24" s="36" t="str">
        <f ca="1">IFERROR(__xludf.DUMMYFUNCTION("VLOOKUP($G206, IMPORTRANGE(""https://docs.google.com/spreadsheets/d/1m0XUyo6H-YHIwm-JawEbLnxdQgU4gDApt1rpXCJkbqs/edit?gid=602588258#gid=602588258"", ""EQUIPOS!G4:523"") ,13,0)"),"#REF!")</f>
        <v>#REF!</v>
      </c>
      <c r="Z24" s="36" t="str">
        <f ca="1">IFERROR(__xludf.DUMMYFUNCTION("VLOOKUP($G206, IMPORTRANGE(""https://docs.google.com/spreadsheets/d/1m0XUyo6H-YHIwm-JawEbLnxdQgU4gDApt1rpXCJkbqs/edit?gid=602588258#gid=602588258"", ""EQUIPOS!G4:523"") ,14,0)"),"#REF!")</f>
        <v>#REF!</v>
      </c>
      <c r="AA24" s="36" t="str">
        <f ca="1">IFERROR(__xludf.DUMMYFUNCTION("VLOOKUP($G206, IMPORTRANGE(""https://docs.google.com/spreadsheets/d/1m0XUyo6H-YHIwm-JawEbLnxdQgU4gDApt1rpXCJkbqs/edit?gid=602588258#gid=602588258"", ""EQUIPOS!G4:523"") ,15,0)"),"#REF!")</f>
        <v>#REF!</v>
      </c>
      <c r="AB24" s="36" t="str">
        <f ca="1">IFERROR(__xludf.DUMMYFUNCTION("VLOOKUP($G206, IMPORTRANGE(""https://docs.google.com/spreadsheets/d/1m0XUyo6H-YHIwm-JawEbLnxdQgU4gDApt1rpXCJkbqs/edit?gid=602588258#gid=602588258"", ""EQUIPOS!G4:523"") ,16,0)"),"#REF!")</f>
        <v>#REF!</v>
      </c>
      <c r="AC24" s="7"/>
    </row>
    <row r="25" spans="1:29" ht="42" customHeight="1">
      <c r="A25" s="7"/>
      <c r="B25" s="26">
        <v>202</v>
      </c>
      <c r="C25" s="27" t="b">
        <v>1</v>
      </c>
      <c r="D25" s="70" t="s">
        <v>58</v>
      </c>
      <c r="E25" s="27" t="s">
        <v>38</v>
      </c>
      <c r="F25" s="27" t="s">
        <v>219</v>
      </c>
      <c r="G25" s="27" t="s">
        <v>219</v>
      </c>
      <c r="H25" s="28" t="s">
        <v>220</v>
      </c>
      <c r="I25" s="27" t="s">
        <v>22</v>
      </c>
      <c r="J25" s="29">
        <v>2</v>
      </c>
      <c r="K25" s="30" t="s">
        <v>47</v>
      </c>
      <c r="L25" s="31" t="s">
        <v>221</v>
      </c>
      <c r="M25" s="32" t="s">
        <v>109</v>
      </c>
      <c r="N25" s="33" t="s">
        <v>7</v>
      </c>
      <c r="O25" s="33" t="s">
        <v>222</v>
      </c>
      <c r="P25" s="34" t="s">
        <v>223</v>
      </c>
      <c r="Q25" s="33" t="b">
        <v>0</v>
      </c>
      <c r="R25" s="33" t="s">
        <v>41</v>
      </c>
      <c r="S25" s="27" t="s">
        <v>42</v>
      </c>
      <c r="T25" s="34" t="s">
        <v>224</v>
      </c>
      <c r="U25" s="31" t="s">
        <v>67</v>
      </c>
      <c r="V25" s="49" t="s">
        <v>40</v>
      </c>
      <c r="W25" s="43" t="s">
        <v>225</v>
      </c>
      <c r="X25" s="34" t="s">
        <v>51</v>
      </c>
      <c r="Y25" s="36" t="str">
        <f ca="1">IFERROR(__xludf.DUMMYFUNCTION("VLOOKUP($G207, IMPORTRANGE(""https://docs.google.com/spreadsheets/d/1m0XUyo6H-YHIwm-JawEbLnxdQgU4gDApt1rpXCJkbqs/edit?gid=602588258#gid=602588258"", ""EQUIPOS!G4:523"") ,13,0)"),"#REF!")</f>
        <v>#REF!</v>
      </c>
      <c r="Z25" s="36" t="str">
        <f ca="1">IFERROR(__xludf.DUMMYFUNCTION("VLOOKUP($G207, IMPORTRANGE(""https://docs.google.com/spreadsheets/d/1m0XUyo6H-YHIwm-JawEbLnxdQgU4gDApt1rpXCJkbqs/edit?gid=602588258#gid=602588258"", ""EQUIPOS!G4:523"") ,14,0)"),"#REF!")</f>
        <v>#REF!</v>
      </c>
      <c r="AA25" s="36" t="str">
        <f ca="1">IFERROR(__xludf.DUMMYFUNCTION("VLOOKUP($G207, IMPORTRANGE(""https://docs.google.com/spreadsheets/d/1m0XUyo6H-YHIwm-JawEbLnxdQgU4gDApt1rpXCJkbqs/edit?gid=602588258#gid=602588258"", ""EQUIPOS!G4:523"") ,15,0)"),"#REF!")</f>
        <v>#REF!</v>
      </c>
      <c r="AB25" s="36" t="str">
        <f ca="1">IFERROR(__xludf.DUMMYFUNCTION("VLOOKUP($G207, IMPORTRANGE(""https://docs.google.com/spreadsheets/d/1m0XUyo6H-YHIwm-JawEbLnxdQgU4gDApt1rpXCJkbqs/edit?gid=602588258#gid=602588258"", ""EQUIPOS!G4:523"") ,16,0)"),"#REF!")</f>
        <v>#REF!</v>
      </c>
      <c r="AC25" s="7"/>
    </row>
    <row r="26" spans="1:29" ht="42" customHeight="1">
      <c r="A26" s="7"/>
      <c r="B26" s="26">
        <v>203</v>
      </c>
      <c r="C26" s="27" t="b">
        <v>1</v>
      </c>
      <c r="D26" s="70" t="s">
        <v>58</v>
      </c>
      <c r="E26" s="27" t="s">
        <v>38</v>
      </c>
      <c r="F26" s="27" t="s">
        <v>226</v>
      </c>
      <c r="G26" s="27" t="s">
        <v>226</v>
      </c>
      <c r="H26" s="28" t="s">
        <v>227</v>
      </c>
      <c r="I26" s="27" t="s">
        <v>22</v>
      </c>
      <c r="J26" s="29">
        <v>2</v>
      </c>
      <c r="K26" s="30" t="s">
        <v>47</v>
      </c>
      <c r="L26" s="31" t="s">
        <v>228</v>
      </c>
      <c r="M26" s="32" t="s">
        <v>229</v>
      </c>
      <c r="N26" s="33" t="s">
        <v>100</v>
      </c>
      <c r="O26" s="33" t="s">
        <v>230</v>
      </c>
      <c r="P26" s="34" t="s">
        <v>231</v>
      </c>
      <c r="Q26" s="33" t="b">
        <v>0</v>
      </c>
      <c r="R26" s="33" t="s">
        <v>41</v>
      </c>
      <c r="S26" s="27" t="s">
        <v>42</v>
      </c>
      <c r="T26" s="34" t="s">
        <v>232</v>
      </c>
      <c r="U26" s="31" t="s">
        <v>67</v>
      </c>
      <c r="V26" s="45"/>
      <c r="W26" s="27"/>
      <c r="X26" s="34" t="s">
        <v>54</v>
      </c>
      <c r="Y26" s="36" t="str">
        <f ca="1">IFERROR(__xludf.DUMMYFUNCTION("VLOOKUP($G208, IMPORTRANGE(""https://docs.google.com/spreadsheets/d/1m0XUyo6H-YHIwm-JawEbLnxdQgU4gDApt1rpXCJkbqs/edit?gid=602588258#gid=602588258"", ""EQUIPOS!G4:523"") ,13,0)"),"#REF!")</f>
        <v>#REF!</v>
      </c>
      <c r="Z26" s="36" t="str">
        <f ca="1">IFERROR(__xludf.DUMMYFUNCTION("VLOOKUP($G208, IMPORTRANGE(""https://docs.google.com/spreadsheets/d/1m0XUyo6H-YHIwm-JawEbLnxdQgU4gDApt1rpXCJkbqs/edit?gid=602588258#gid=602588258"", ""EQUIPOS!G4:523"") ,14,0)"),"#REF!")</f>
        <v>#REF!</v>
      </c>
      <c r="AA26" s="36" t="str">
        <f ca="1">IFERROR(__xludf.DUMMYFUNCTION("VLOOKUP($G208, IMPORTRANGE(""https://docs.google.com/spreadsheets/d/1m0XUyo6H-YHIwm-JawEbLnxdQgU4gDApt1rpXCJkbqs/edit?gid=602588258#gid=602588258"", ""EQUIPOS!G4:523"") ,15,0)"),"#REF!")</f>
        <v>#REF!</v>
      </c>
      <c r="AB26" s="36" t="str">
        <f ca="1">IFERROR(__xludf.DUMMYFUNCTION("VLOOKUP($G208, IMPORTRANGE(""https://docs.google.com/spreadsheets/d/1m0XUyo6H-YHIwm-JawEbLnxdQgU4gDApt1rpXCJkbqs/edit?gid=602588258#gid=602588258"", ""EQUIPOS!G4:523"") ,16,0)"),"#REF!")</f>
        <v>#REF!</v>
      </c>
      <c r="AC26" s="7"/>
    </row>
    <row r="27" spans="1:29" ht="42" customHeight="1">
      <c r="A27" s="7"/>
      <c r="B27" s="26">
        <v>204</v>
      </c>
      <c r="C27" s="27" t="b">
        <v>1</v>
      </c>
      <c r="D27" s="70" t="s">
        <v>58</v>
      </c>
      <c r="E27" s="27" t="s">
        <v>38</v>
      </c>
      <c r="F27" s="27" t="s">
        <v>233</v>
      </c>
      <c r="G27" s="27" t="s">
        <v>233</v>
      </c>
      <c r="H27" s="28" t="s">
        <v>234</v>
      </c>
      <c r="I27" s="27" t="s">
        <v>22</v>
      </c>
      <c r="J27" s="29">
        <v>2</v>
      </c>
      <c r="K27" s="30" t="s">
        <v>47</v>
      </c>
      <c r="L27" s="39" t="s">
        <v>235</v>
      </c>
      <c r="M27" s="32" t="s">
        <v>236</v>
      </c>
      <c r="N27" s="33" t="s">
        <v>237</v>
      </c>
      <c r="O27" s="33" t="s">
        <v>238</v>
      </c>
      <c r="P27" s="34" t="s">
        <v>239</v>
      </c>
      <c r="Q27" s="33" t="b">
        <v>0</v>
      </c>
      <c r="R27" s="33" t="s">
        <v>41</v>
      </c>
      <c r="S27" s="27" t="s">
        <v>42</v>
      </c>
      <c r="T27" s="34" t="s">
        <v>240</v>
      </c>
      <c r="U27" s="31" t="s">
        <v>67</v>
      </c>
      <c r="V27" s="45"/>
      <c r="W27" s="27" t="s">
        <v>55</v>
      </c>
      <c r="X27" s="34" t="s">
        <v>54</v>
      </c>
      <c r="Y27" s="36" t="str">
        <f ca="1">IFERROR(__xludf.DUMMYFUNCTION("VLOOKUP($G209, IMPORTRANGE(""https://docs.google.com/spreadsheets/d/1m0XUyo6H-YHIwm-JawEbLnxdQgU4gDApt1rpXCJkbqs/edit?gid=602588258#gid=602588258"", ""EQUIPOS!G4:523"") ,13,0)"),"#REF!")</f>
        <v>#REF!</v>
      </c>
      <c r="Z27" s="36" t="str">
        <f ca="1">IFERROR(__xludf.DUMMYFUNCTION("VLOOKUP($G209, IMPORTRANGE(""https://docs.google.com/spreadsheets/d/1m0XUyo6H-YHIwm-JawEbLnxdQgU4gDApt1rpXCJkbqs/edit?gid=602588258#gid=602588258"", ""EQUIPOS!G4:523"") ,14,0)"),"#REF!")</f>
        <v>#REF!</v>
      </c>
      <c r="AA27" s="36" t="str">
        <f ca="1">IFERROR(__xludf.DUMMYFUNCTION("VLOOKUP($G209, IMPORTRANGE(""https://docs.google.com/spreadsheets/d/1m0XUyo6H-YHIwm-JawEbLnxdQgU4gDApt1rpXCJkbqs/edit?gid=602588258#gid=602588258"", ""EQUIPOS!G4:523"") ,15,0)"),"#REF!")</f>
        <v>#REF!</v>
      </c>
      <c r="AB27" s="36" t="str">
        <f ca="1">IFERROR(__xludf.DUMMYFUNCTION("VLOOKUP($G209, IMPORTRANGE(""https://docs.google.com/spreadsheets/d/1m0XUyo6H-YHIwm-JawEbLnxdQgU4gDApt1rpXCJkbqs/edit?gid=602588258#gid=602588258"", ""EQUIPOS!G4:523"") ,16,0)"),"#REF!")</f>
        <v>#REF!</v>
      </c>
      <c r="AC27" s="7"/>
    </row>
    <row r="28" spans="1:29" ht="42" customHeight="1">
      <c r="A28" s="7"/>
      <c r="B28" s="26">
        <v>209</v>
      </c>
      <c r="C28" s="27" t="b">
        <v>1</v>
      </c>
      <c r="D28" s="70" t="s">
        <v>58</v>
      </c>
      <c r="E28" s="27" t="s">
        <v>38</v>
      </c>
      <c r="F28" s="27" t="s">
        <v>244</v>
      </c>
      <c r="G28" s="27" t="s">
        <v>244</v>
      </c>
      <c r="H28" s="28" t="s">
        <v>245</v>
      </c>
      <c r="I28" s="27" t="s">
        <v>22</v>
      </c>
      <c r="J28" s="29">
        <v>2</v>
      </c>
      <c r="K28" s="30" t="s">
        <v>47</v>
      </c>
      <c r="L28" s="31" t="s">
        <v>246</v>
      </c>
      <c r="M28" s="32" t="s">
        <v>247</v>
      </c>
      <c r="N28" s="33" t="s">
        <v>241</v>
      </c>
      <c r="O28" s="33" t="s">
        <v>242</v>
      </c>
      <c r="P28" s="34" t="s">
        <v>243</v>
      </c>
      <c r="Q28" s="33" t="b">
        <v>0</v>
      </c>
      <c r="R28" s="33" t="s">
        <v>41</v>
      </c>
      <c r="S28" s="27" t="s">
        <v>42</v>
      </c>
      <c r="T28" s="34" t="s">
        <v>248</v>
      </c>
      <c r="U28" s="31" t="s">
        <v>67</v>
      </c>
      <c r="V28" s="45"/>
      <c r="W28" s="27"/>
      <c r="X28" s="34" t="s">
        <v>105</v>
      </c>
      <c r="Y28" s="36" t="str">
        <f ca="1">IFERROR(__xludf.DUMMYFUNCTION("VLOOKUP($G214, IMPORTRANGE(""https://docs.google.com/spreadsheets/d/1m0XUyo6H-YHIwm-JawEbLnxdQgU4gDApt1rpXCJkbqs/edit?gid=602588258#gid=602588258"", ""EQUIPOS!G4:523"") ,13,0)"),"#REF!")</f>
        <v>#REF!</v>
      </c>
      <c r="Z28" s="36" t="str">
        <f ca="1">IFERROR(__xludf.DUMMYFUNCTION("VLOOKUP($G214, IMPORTRANGE(""https://docs.google.com/spreadsheets/d/1m0XUyo6H-YHIwm-JawEbLnxdQgU4gDApt1rpXCJkbqs/edit?gid=602588258#gid=602588258"", ""EQUIPOS!G4:523"") ,14,0)"),"#REF!")</f>
        <v>#REF!</v>
      </c>
      <c r="AA28" s="36" t="str">
        <f ca="1">IFERROR(__xludf.DUMMYFUNCTION("VLOOKUP($G214, IMPORTRANGE(""https://docs.google.com/spreadsheets/d/1m0XUyo6H-YHIwm-JawEbLnxdQgU4gDApt1rpXCJkbqs/edit?gid=602588258#gid=602588258"", ""EQUIPOS!G4:523"") ,15,0)"),"#REF!")</f>
        <v>#REF!</v>
      </c>
      <c r="AB28" s="36" t="str">
        <f ca="1">IFERROR(__xludf.DUMMYFUNCTION("VLOOKUP($G214, IMPORTRANGE(""https://docs.google.com/spreadsheets/d/1m0XUyo6H-YHIwm-JawEbLnxdQgU4gDApt1rpXCJkbqs/edit?gid=602588258#gid=602588258"", ""EQUIPOS!G4:523"") ,16,0)"),"#REF!")</f>
        <v>#REF!</v>
      </c>
      <c r="AC28" s="7"/>
    </row>
    <row r="29" spans="1:29" ht="42" customHeight="1">
      <c r="A29" s="7"/>
      <c r="B29" s="26">
        <v>210</v>
      </c>
      <c r="C29" s="27" t="b">
        <v>1</v>
      </c>
      <c r="D29" s="70" t="s">
        <v>58</v>
      </c>
      <c r="E29" s="27" t="s">
        <v>38</v>
      </c>
      <c r="F29" s="27" t="s">
        <v>249</v>
      </c>
      <c r="G29" s="27" t="s">
        <v>249</v>
      </c>
      <c r="H29" s="28" t="s">
        <v>250</v>
      </c>
      <c r="I29" s="27" t="s">
        <v>22</v>
      </c>
      <c r="J29" s="29">
        <v>2</v>
      </c>
      <c r="K29" s="30" t="s">
        <v>47</v>
      </c>
      <c r="L29" s="31" t="s">
        <v>251</v>
      </c>
      <c r="M29" s="32" t="s">
        <v>252</v>
      </c>
      <c r="N29" s="33" t="s">
        <v>253</v>
      </c>
      <c r="O29" s="33" t="s">
        <v>254</v>
      </c>
      <c r="P29" s="34" t="s">
        <v>255</v>
      </c>
      <c r="Q29" s="33" t="b">
        <v>0</v>
      </c>
      <c r="R29" s="33" t="s">
        <v>41</v>
      </c>
      <c r="S29" s="27" t="s">
        <v>42</v>
      </c>
      <c r="T29" s="46" t="s">
        <v>256</v>
      </c>
      <c r="U29" s="31" t="s">
        <v>67</v>
      </c>
      <c r="V29" s="45"/>
      <c r="W29" s="27"/>
      <c r="X29" s="34" t="s">
        <v>54</v>
      </c>
      <c r="Y29" s="36" t="str">
        <f ca="1">IFERROR(__xludf.DUMMYFUNCTION("VLOOKUP($G215, IMPORTRANGE(""https://docs.google.com/spreadsheets/d/1m0XUyo6H-YHIwm-JawEbLnxdQgU4gDApt1rpXCJkbqs/edit?gid=602588258#gid=602588258"", ""EQUIPOS!G4:523"") ,13,0)"),"#REF!")</f>
        <v>#REF!</v>
      </c>
      <c r="Z29" s="36" t="str">
        <f ca="1">IFERROR(__xludf.DUMMYFUNCTION("VLOOKUP($G215, IMPORTRANGE(""https://docs.google.com/spreadsheets/d/1m0XUyo6H-YHIwm-JawEbLnxdQgU4gDApt1rpXCJkbqs/edit?gid=602588258#gid=602588258"", ""EQUIPOS!G4:523"") ,14,0)"),"#REF!")</f>
        <v>#REF!</v>
      </c>
      <c r="AA29" s="36" t="str">
        <f ca="1">IFERROR(__xludf.DUMMYFUNCTION("VLOOKUP($G215, IMPORTRANGE(""https://docs.google.com/spreadsheets/d/1m0XUyo6H-YHIwm-JawEbLnxdQgU4gDApt1rpXCJkbqs/edit?gid=602588258#gid=602588258"", ""EQUIPOS!G4:523"") ,15,0)"),"#REF!")</f>
        <v>#REF!</v>
      </c>
      <c r="AB29" s="36" t="str">
        <f ca="1">IFERROR(__xludf.DUMMYFUNCTION("VLOOKUP($G215, IMPORTRANGE(""https://docs.google.com/spreadsheets/d/1m0XUyo6H-YHIwm-JawEbLnxdQgU4gDApt1rpXCJkbqs/edit?gid=602588258#gid=602588258"", ""EQUIPOS!G4:523"") ,16,0)"),"#REF!")</f>
        <v>#REF!</v>
      </c>
      <c r="AC29" s="7"/>
    </row>
    <row r="30" spans="1:29" ht="42" customHeight="1">
      <c r="A30" s="7"/>
      <c r="B30" s="26">
        <v>214</v>
      </c>
      <c r="C30" s="27" t="b">
        <v>1</v>
      </c>
      <c r="D30" s="70" t="s">
        <v>58</v>
      </c>
      <c r="E30" s="27" t="s">
        <v>38</v>
      </c>
      <c r="F30" s="27" t="s">
        <v>261</v>
      </c>
      <c r="G30" s="27" t="s">
        <v>261</v>
      </c>
      <c r="H30" s="28" t="s">
        <v>257</v>
      </c>
      <c r="I30" s="27" t="s">
        <v>22</v>
      </c>
      <c r="J30" s="29">
        <v>8</v>
      </c>
      <c r="K30" s="30" t="s">
        <v>47</v>
      </c>
      <c r="L30" s="31" t="s">
        <v>262</v>
      </c>
      <c r="M30" s="32" t="s">
        <v>258</v>
      </c>
      <c r="N30" s="33" t="s">
        <v>48</v>
      </c>
      <c r="O30" s="33" t="s">
        <v>259</v>
      </c>
      <c r="P30" s="34" t="s">
        <v>260</v>
      </c>
      <c r="Q30" s="33" t="b">
        <v>0</v>
      </c>
      <c r="R30" s="33" t="s">
        <v>41</v>
      </c>
      <c r="S30" s="27" t="s">
        <v>42</v>
      </c>
      <c r="T30" s="34" t="s">
        <v>263</v>
      </c>
      <c r="U30" s="31" t="s">
        <v>67</v>
      </c>
      <c r="V30" s="45" t="s">
        <v>40</v>
      </c>
      <c r="W30" s="27" t="s">
        <v>36</v>
      </c>
      <c r="X30" s="34" t="s">
        <v>51</v>
      </c>
      <c r="Y30" s="36" t="str">
        <f ca="1">IFERROR(__xludf.DUMMYFUNCTION("VLOOKUP($G219, IMPORTRANGE(""https://docs.google.com/spreadsheets/d/1m0XUyo6H-YHIwm-JawEbLnxdQgU4gDApt1rpXCJkbqs/edit?gid=602588258#gid=602588258"", ""EQUIPOS!G4:523"") ,13,0)"),"#REF!")</f>
        <v>#REF!</v>
      </c>
      <c r="Z30" s="36" t="str">
        <f ca="1">IFERROR(__xludf.DUMMYFUNCTION("VLOOKUP($G219, IMPORTRANGE(""https://docs.google.com/spreadsheets/d/1m0XUyo6H-YHIwm-JawEbLnxdQgU4gDApt1rpXCJkbqs/edit?gid=602588258#gid=602588258"", ""EQUIPOS!G4:523"") ,14,0)"),"#REF!")</f>
        <v>#REF!</v>
      </c>
      <c r="AA30" s="36" t="str">
        <f ca="1">IFERROR(__xludf.DUMMYFUNCTION("VLOOKUP($G219, IMPORTRANGE(""https://docs.google.com/spreadsheets/d/1m0XUyo6H-YHIwm-JawEbLnxdQgU4gDApt1rpXCJkbqs/edit?gid=602588258#gid=602588258"", ""EQUIPOS!G4:523"") ,15,0)"),"#REF!")</f>
        <v>#REF!</v>
      </c>
      <c r="AB30" s="36" t="str">
        <f ca="1">IFERROR(__xludf.DUMMYFUNCTION("VLOOKUP($G219, IMPORTRANGE(""https://docs.google.com/spreadsheets/d/1m0XUyo6H-YHIwm-JawEbLnxdQgU4gDApt1rpXCJkbqs/edit?gid=602588258#gid=602588258"", ""EQUIPOS!G4:523"") ,16,0)"),"#REF!")</f>
        <v>#REF!</v>
      </c>
      <c r="AC30" s="7"/>
    </row>
    <row r="31" spans="1:29" ht="42" customHeight="1">
      <c r="A31" s="7"/>
      <c r="B31" s="26">
        <v>219</v>
      </c>
      <c r="C31" s="27" t="b">
        <v>1</v>
      </c>
      <c r="D31" s="70" t="s">
        <v>58</v>
      </c>
      <c r="E31" s="27" t="s">
        <v>38</v>
      </c>
      <c r="F31" s="27" t="s">
        <v>264</v>
      </c>
      <c r="G31" s="27" t="s">
        <v>264</v>
      </c>
      <c r="H31" s="28" t="s">
        <v>265</v>
      </c>
      <c r="I31" s="27" t="s">
        <v>22</v>
      </c>
      <c r="J31" s="29">
        <v>5</v>
      </c>
      <c r="K31" s="30" t="s">
        <v>47</v>
      </c>
      <c r="L31" s="31" t="s">
        <v>266</v>
      </c>
      <c r="M31" s="32" t="s">
        <v>229</v>
      </c>
      <c r="N31" s="33" t="s">
        <v>110</v>
      </c>
      <c r="O31" s="33" t="s">
        <v>267</v>
      </c>
      <c r="P31" s="34" t="s">
        <v>268</v>
      </c>
      <c r="Q31" s="33" t="b">
        <v>0</v>
      </c>
      <c r="R31" s="33" t="s">
        <v>41</v>
      </c>
      <c r="S31" s="27" t="s">
        <v>42</v>
      </c>
      <c r="T31" s="34" t="s">
        <v>269</v>
      </c>
      <c r="U31" s="31" t="s">
        <v>67</v>
      </c>
      <c r="V31" s="45"/>
      <c r="W31" s="27"/>
      <c r="X31" s="34" t="s">
        <v>105</v>
      </c>
      <c r="Y31" s="36" t="str">
        <f ca="1">IFERROR(__xludf.DUMMYFUNCTION("VLOOKUP($G224, IMPORTRANGE(""https://docs.google.com/spreadsheets/d/1m0XUyo6H-YHIwm-JawEbLnxdQgU4gDApt1rpXCJkbqs/edit?gid=602588258#gid=602588258"", ""EQUIPOS!G4:523"") ,13,0)"),"#REF!")</f>
        <v>#REF!</v>
      </c>
      <c r="Z31" s="36" t="str">
        <f ca="1">IFERROR(__xludf.DUMMYFUNCTION("VLOOKUP($G224, IMPORTRANGE(""https://docs.google.com/spreadsheets/d/1m0XUyo6H-YHIwm-JawEbLnxdQgU4gDApt1rpXCJkbqs/edit?gid=602588258#gid=602588258"", ""EQUIPOS!G4:523"") ,14,0)"),"#REF!")</f>
        <v>#REF!</v>
      </c>
      <c r="AA31" s="36" t="str">
        <f ca="1">IFERROR(__xludf.DUMMYFUNCTION("VLOOKUP($G224, IMPORTRANGE(""https://docs.google.com/spreadsheets/d/1m0XUyo6H-YHIwm-JawEbLnxdQgU4gDApt1rpXCJkbqs/edit?gid=602588258#gid=602588258"", ""EQUIPOS!G4:523"") ,15,0)"),"#REF!")</f>
        <v>#REF!</v>
      </c>
      <c r="AB31" s="36" t="str">
        <f ca="1">IFERROR(__xludf.DUMMYFUNCTION("VLOOKUP($G224, IMPORTRANGE(""https://docs.google.com/spreadsheets/d/1m0XUyo6H-YHIwm-JawEbLnxdQgU4gDApt1rpXCJkbqs/edit?gid=602588258#gid=602588258"", ""EQUIPOS!G4:523"") ,16,0)"),"#REF!")</f>
        <v>#REF!</v>
      </c>
      <c r="AC31" s="7"/>
    </row>
    <row r="32" spans="1:29" ht="42" customHeight="1">
      <c r="A32" s="7"/>
      <c r="B32" s="26">
        <v>226</v>
      </c>
      <c r="C32" s="27" t="b">
        <v>1</v>
      </c>
      <c r="D32" s="70" t="s">
        <v>58</v>
      </c>
      <c r="E32" s="27" t="s">
        <v>270</v>
      </c>
      <c r="F32" s="27" t="s">
        <v>271</v>
      </c>
      <c r="G32" s="27" t="s">
        <v>274</v>
      </c>
      <c r="H32" s="28" t="s">
        <v>272</v>
      </c>
      <c r="I32" s="27" t="s">
        <v>22</v>
      </c>
      <c r="J32" s="29">
        <v>2</v>
      </c>
      <c r="K32" s="30" t="s">
        <v>39</v>
      </c>
      <c r="L32" s="31" t="s">
        <v>275</v>
      </c>
      <c r="M32" s="32" t="s">
        <v>40</v>
      </c>
      <c r="N32" s="33" t="s">
        <v>276</v>
      </c>
      <c r="O32" s="33" t="s">
        <v>277</v>
      </c>
      <c r="P32" s="34" t="s">
        <v>278</v>
      </c>
      <c r="Q32" s="33" t="b">
        <v>0</v>
      </c>
      <c r="R32" s="33" t="s">
        <v>41</v>
      </c>
      <c r="S32" s="27" t="s">
        <v>42</v>
      </c>
      <c r="T32" s="34" t="s">
        <v>279</v>
      </c>
      <c r="U32" s="31" t="s">
        <v>67</v>
      </c>
      <c r="V32" s="45" t="s">
        <v>40</v>
      </c>
      <c r="W32" s="27" t="s">
        <v>40</v>
      </c>
      <c r="X32" s="34" t="s">
        <v>57</v>
      </c>
      <c r="Y32" s="36" t="str">
        <f ca="1">IFERROR(__xludf.DUMMYFUNCTION("VLOOKUP($G231, IMPORTRANGE(""https://docs.google.com/spreadsheets/d/1m0XUyo6H-YHIwm-JawEbLnxdQgU4gDApt1rpXCJkbqs/edit?gid=602588258#gid=602588258"", ""EQUIPOS!G4:523"") ,13,0)"),"#REF!")</f>
        <v>#REF!</v>
      </c>
      <c r="Z32" s="36" t="str">
        <f ca="1">IFERROR(__xludf.DUMMYFUNCTION("VLOOKUP($G231, IMPORTRANGE(""https://docs.google.com/spreadsheets/d/1m0XUyo6H-YHIwm-JawEbLnxdQgU4gDApt1rpXCJkbqs/edit?gid=602588258#gid=602588258"", ""EQUIPOS!G4:523"") ,14,0)"),"#REF!")</f>
        <v>#REF!</v>
      </c>
      <c r="AA32" s="36" t="str">
        <f ca="1">IFERROR(__xludf.DUMMYFUNCTION("VLOOKUP($G231, IMPORTRANGE(""https://docs.google.com/spreadsheets/d/1m0XUyo6H-YHIwm-JawEbLnxdQgU4gDApt1rpXCJkbqs/edit?gid=602588258#gid=602588258"", ""EQUIPOS!G4:523"") ,15,0)"),"#REF!")</f>
        <v>#REF!</v>
      </c>
      <c r="AB32" s="36" t="str">
        <f ca="1">IFERROR(__xludf.DUMMYFUNCTION("VLOOKUP($G231, IMPORTRANGE(""https://docs.google.com/spreadsheets/d/1m0XUyo6H-YHIwm-JawEbLnxdQgU4gDApt1rpXCJkbqs/edit?gid=602588258#gid=602588258"", ""EQUIPOS!G4:523"") ,16,0)"),"#REF!")</f>
        <v>#REF!</v>
      </c>
      <c r="AC32" s="52"/>
    </row>
    <row r="33" spans="1:29" ht="42" customHeight="1">
      <c r="A33" s="7"/>
      <c r="B33" s="26">
        <v>229</v>
      </c>
      <c r="C33" s="27" t="b">
        <v>1</v>
      </c>
      <c r="D33" s="70" t="s">
        <v>58</v>
      </c>
      <c r="E33" s="27" t="s">
        <v>270</v>
      </c>
      <c r="F33" s="27" t="s">
        <v>280</v>
      </c>
      <c r="G33" s="27" t="s">
        <v>280</v>
      </c>
      <c r="H33" s="28" t="s">
        <v>281</v>
      </c>
      <c r="I33" s="27" t="s">
        <v>22</v>
      </c>
      <c r="J33" s="29">
        <v>8</v>
      </c>
      <c r="K33" s="30" t="s">
        <v>39</v>
      </c>
      <c r="L33" s="39" t="s">
        <v>282</v>
      </c>
      <c r="M33" s="32" t="s">
        <v>40</v>
      </c>
      <c r="N33" s="33" t="s">
        <v>283</v>
      </c>
      <c r="O33" s="33" t="s">
        <v>284</v>
      </c>
      <c r="P33" s="34" t="s">
        <v>285</v>
      </c>
      <c r="Q33" s="33" t="b">
        <v>0</v>
      </c>
      <c r="R33" s="33" t="s">
        <v>41</v>
      </c>
      <c r="S33" s="27" t="s">
        <v>42</v>
      </c>
      <c r="T33" s="34" t="s">
        <v>286</v>
      </c>
      <c r="U33" s="31" t="s">
        <v>67</v>
      </c>
      <c r="V33" s="45"/>
      <c r="W33" s="27"/>
      <c r="X33" s="34" t="s">
        <v>54</v>
      </c>
      <c r="Y33" s="36" t="str">
        <f ca="1">IFERROR(__xludf.DUMMYFUNCTION("VLOOKUP($G234, IMPORTRANGE(""https://docs.google.com/spreadsheets/d/1m0XUyo6H-YHIwm-JawEbLnxdQgU4gDApt1rpXCJkbqs/edit?gid=602588258#gid=602588258"", ""EQUIPOS!G4:523"") ,13,0)"),"#REF!")</f>
        <v>#REF!</v>
      </c>
      <c r="Z33" s="36" t="str">
        <f ca="1">IFERROR(__xludf.DUMMYFUNCTION("VLOOKUP($G234, IMPORTRANGE(""https://docs.google.com/spreadsheets/d/1m0XUyo6H-YHIwm-JawEbLnxdQgU4gDApt1rpXCJkbqs/edit?gid=602588258#gid=602588258"", ""EQUIPOS!G4:523"") ,14,0)"),"#REF!")</f>
        <v>#REF!</v>
      </c>
      <c r="AA33" s="36" t="str">
        <f ca="1">IFERROR(__xludf.DUMMYFUNCTION("VLOOKUP($G234, IMPORTRANGE(""https://docs.google.com/spreadsheets/d/1m0XUyo6H-YHIwm-JawEbLnxdQgU4gDApt1rpXCJkbqs/edit?gid=602588258#gid=602588258"", ""EQUIPOS!G4:523"") ,15,0)"),"#REF!")</f>
        <v>#REF!</v>
      </c>
      <c r="AB33" s="36" t="str">
        <f ca="1">IFERROR(__xludf.DUMMYFUNCTION("VLOOKUP($G234, IMPORTRANGE(""https://docs.google.com/spreadsheets/d/1m0XUyo6H-YHIwm-JawEbLnxdQgU4gDApt1rpXCJkbqs/edit?gid=602588258#gid=602588258"", ""EQUIPOS!G4:523"") ,16,0)"),"#REF!")</f>
        <v>#REF!</v>
      </c>
      <c r="AC33" s="7"/>
    </row>
    <row r="34" spans="1:29" ht="42" customHeight="1">
      <c r="A34" s="7"/>
      <c r="B34" s="26">
        <v>237</v>
      </c>
      <c r="C34" s="27" t="b">
        <v>1</v>
      </c>
      <c r="D34" s="70" t="s">
        <v>58</v>
      </c>
      <c r="E34" s="27" t="s">
        <v>270</v>
      </c>
      <c r="F34" s="27" t="s">
        <v>287</v>
      </c>
      <c r="G34" s="27" t="s">
        <v>287</v>
      </c>
      <c r="H34" s="28" t="s">
        <v>288</v>
      </c>
      <c r="I34" s="27" t="s">
        <v>22</v>
      </c>
      <c r="J34" s="29">
        <v>4</v>
      </c>
      <c r="K34" s="30" t="s">
        <v>39</v>
      </c>
      <c r="L34" s="31" t="s">
        <v>289</v>
      </c>
      <c r="M34" s="32" t="s">
        <v>40</v>
      </c>
      <c r="N34" s="33" t="s">
        <v>290</v>
      </c>
      <c r="O34" s="33" t="s">
        <v>291</v>
      </c>
      <c r="P34" s="54" t="s">
        <v>292</v>
      </c>
      <c r="Q34" s="33" t="b">
        <v>0</v>
      </c>
      <c r="R34" s="33" t="s">
        <v>41</v>
      </c>
      <c r="S34" s="10" t="s">
        <v>42</v>
      </c>
      <c r="T34" s="34" t="s">
        <v>293</v>
      </c>
      <c r="U34" s="31" t="s">
        <v>67</v>
      </c>
      <c r="V34" s="45"/>
      <c r="W34" s="27"/>
      <c r="X34" s="34" t="s">
        <v>54</v>
      </c>
      <c r="Y34" s="36" t="str">
        <f ca="1">IFERROR(__xludf.DUMMYFUNCTION("VLOOKUP($G242, IMPORTRANGE(""https://docs.google.com/spreadsheets/d/1m0XUyo6H-YHIwm-JawEbLnxdQgU4gDApt1rpXCJkbqs/edit?gid=602588258#gid=602588258"", ""EQUIPOS!G4:523"") ,13,0)"),"#REF!")</f>
        <v>#REF!</v>
      </c>
      <c r="Z34" s="36" t="str">
        <f ca="1">IFERROR(__xludf.DUMMYFUNCTION("VLOOKUP($G242, IMPORTRANGE(""https://docs.google.com/spreadsheets/d/1m0XUyo6H-YHIwm-JawEbLnxdQgU4gDApt1rpXCJkbqs/edit?gid=602588258#gid=602588258"", ""EQUIPOS!G4:523"") ,14,0)"),"#REF!")</f>
        <v>#REF!</v>
      </c>
      <c r="AA34" s="36" t="str">
        <f ca="1">IFERROR(__xludf.DUMMYFUNCTION("VLOOKUP($G242, IMPORTRANGE(""https://docs.google.com/spreadsheets/d/1m0XUyo6H-YHIwm-JawEbLnxdQgU4gDApt1rpXCJkbqs/edit?gid=602588258#gid=602588258"", ""EQUIPOS!G4:523"") ,15,0)"),"#REF!")</f>
        <v>#REF!</v>
      </c>
      <c r="AB34" s="36" t="str">
        <f ca="1">IFERROR(__xludf.DUMMYFUNCTION("VLOOKUP($G242, IMPORTRANGE(""https://docs.google.com/spreadsheets/d/1m0XUyo6H-YHIwm-JawEbLnxdQgU4gDApt1rpXCJkbqs/edit?gid=602588258#gid=602588258"", ""EQUIPOS!G4:523"") ,16,0)"),"#REF!")</f>
        <v>#REF!</v>
      </c>
      <c r="AC34" s="7"/>
    </row>
    <row r="35" spans="1:29" ht="42" customHeight="1">
      <c r="A35" s="7"/>
      <c r="B35" s="26">
        <v>238</v>
      </c>
      <c r="C35" s="27" t="b">
        <v>1</v>
      </c>
      <c r="D35" s="70" t="s">
        <v>58</v>
      </c>
      <c r="E35" s="27" t="s">
        <v>270</v>
      </c>
      <c r="F35" s="27" t="s">
        <v>294</v>
      </c>
      <c r="G35" s="27" t="s">
        <v>294</v>
      </c>
      <c r="H35" s="28" t="s">
        <v>295</v>
      </c>
      <c r="I35" s="27" t="s">
        <v>22</v>
      </c>
      <c r="J35" s="29">
        <v>6</v>
      </c>
      <c r="K35" s="30" t="s">
        <v>39</v>
      </c>
      <c r="L35" s="31" t="s">
        <v>296</v>
      </c>
      <c r="M35" s="32" t="s">
        <v>297</v>
      </c>
      <c r="N35" s="33" t="s">
        <v>298</v>
      </c>
      <c r="O35" s="33" t="s">
        <v>299</v>
      </c>
      <c r="P35" s="34" t="s">
        <v>300</v>
      </c>
      <c r="Q35" s="33" t="b">
        <v>0</v>
      </c>
      <c r="R35" s="33" t="s">
        <v>41</v>
      </c>
      <c r="S35" s="35" t="s">
        <v>42</v>
      </c>
      <c r="T35" s="34" t="s">
        <v>301</v>
      </c>
      <c r="U35" s="31" t="s">
        <v>67</v>
      </c>
      <c r="V35" s="45"/>
      <c r="W35" s="27"/>
      <c r="X35" s="34" t="s">
        <v>44</v>
      </c>
      <c r="Y35" s="36" t="str">
        <f ca="1">IFERROR(__xludf.DUMMYFUNCTION("VLOOKUP($G243, IMPORTRANGE(""https://docs.google.com/spreadsheets/d/1m0XUyo6H-YHIwm-JawEbLnxdQgU4gDApt1rpXCJkbqs/edit?gid=602588258#gid=602588258"", ""EQUIPOS!G4:523"") ,13,0)"),"#REF!")</f>
        <v>#REF!</v>
      </c>
      <c r="Z35" s="36" t="str">
        <f ca="1">IFERROR(__xludf.DUMMYFUNCTION("VLOOKUP($G243, IMPORTRANGE(""https://docs.google.com/spreadsheets/d/1m0XUyo6H-YHIwm-JawEbLnxdQgU4gDApt1rpXCJkbqs/edit?gid=602588258#gid=602588258"", ""EQUIPOS!G4:523"") ,14,0)"),"#REF!")</f>
        <v>#REF!</v>
      </c>
      <c r="AA35" s="36" t="str">
        <f ca="1">IFERROR(__xludf.DUMMYFUNCTION("VLOOKUP($G243, IMPORTRANGE(""https://docs.google.com/spreadsheets/d/1m0XUyo6H-YHIwm-JawEbLnxdQgU4gDApt1rpXCJkbqs/edit?gid=602588258#gid=602588258"", ""EQUIPOS!G4:523"") ,15,0)"),"#REF!")</f>
        <v>#REF!</v>
      </c>
      <c r="AB35" s="36" t="str">
        <f ca="1">IFERROR(__xludf.DUMMYFUNCTION("VLOOKUP($G243, IMPORTRANGE(""https://docs.google.com/spreadsheets/d/1m0XUyo6H-YHIwm-JawEbLnxdQgU4gDApt1rpXCJkbqs/edit?gid=602588258#gid=602588258"", ""EQUIPOS!G4:523"") ,16,0)"),"#REF!")</f>
        <v>#REF!</v>
      </c>
      <c r="AC35" s="7"/>
    </row>
    <row r="36" spans="1:29" ht="42" customHeight="1">
      <c r="A36" s="7"/>
      <c r="B36" s="26">
        <v>241</v>
      </c>
      <c r="C36" s="27" t="b">
        <v>1</v>
      </c>
      <c r="D36" s="70" t="s">
        <v>58</v>
      </c>
      <c r="E36" s="27" t="s">
        <v>270</v>
      </c>
      <c r="F36" s="27" t="s">
        <v>302</v>
      </c>
      <c r="G36" s="27" t="s">
        <v>303</v>
      </c>
      <c r="H36" s="28" t="s">
        <v>304</v>
      </c>
      <c r="I36" s="27" t="s">
        <v>22</v>
      </c>
      <c r="J36" s="29">
        <v>8</v>
      </c>
      <c r="K36" s="30" t="s">
        <v>39</v>
      </c>
      <c r="L36" s="31" t="s">
        <v>305</v>
      </c>
      <c r="M36" s="32" t="s">
        <v>40</v>
      </c>
      <c r="N36" s="33" t="s">
        <v>69</v>
      </c>
      <c r="O36" s="33">
        <v>14388</v>
      </c>
      <c r="P36" s="34" t="s">
        <v>306</v>
      </c>
      <c r="Q36" s="33" t="b">
        <v>0</v>
      </c>
      <c r="R36" s="33" t="s">
        <v>41</v>
      </c>
      <c r="S36" s="35" t="s">
        <v>42</v>
      </c>
      <c r="T36" s="34" t="s">
        <v>307</v>
      </c>
      <c r="U36" s="31" t="s">
        <v>67</v>
      </c>
      <c r="V36" s="45" t="s">
        <v>40</v>
      </c>
      <c r="W36" s="27" t="s">
        <v>40</v>
      </c>
      <c r="X36" s="34" t="s">
        <v>53</v>
      </c>
      <c r="Y36" s="36" t="str">
        <f ca="1">IFERROR(__xludf.DUMMYFUNCTION("VLOOKUP($G246, IMPORTRANGE(""https://docs.google.com/spreadsheets/d/1m0XUyo6H-YHIwm-JawEbLnxdQgU4gDApt1rpXCJkbqs/edit?gid=602588258#gid=602588258"", ""EQUIPOS!G4:523"") ,13,0)"),"#REF!")</f>
        <v>#REF!</v>
      </c>
      <c r="Z36" s="36" t="str">
        <f ca="1">IFERROR(__xludf.DUMMYFUNCTION("VLOOKUP($G246, IMPORTRANGE(""https://docs.google.com/spreadsheets/d/1m0XUyo6H-YHIwm-JawEbLnxdQgU4gDApt1rpXCJkbqs/edit?gid=602588258#gid=602588258"", ""EQUIPOS!G4:523"") ,14,0)"),"#REF!")</f>
        <v>#REF!</v>
      </c>
      <c r="AA36" s="36" t="str">
        <f ca="1">IFERROR(__xludf.DUMMYFUNCTION("VLOOKUP($G246, IMPORTRANGE(""https://docs.google.com/spreadsheets/d/1m0XUyo6H-YHIwm-JawEbLnxdQgU4gDApt1rpXCJkbqs/edit?gid=602588258#gid=602588258"", ""EQUIPOS!G4:523"") ,15,0)"),"#REF!")</f>
        <v>#REF!</v>
      </c>
      <c r="AB36" s="36" t="str">
        <f ca="1">IFERROR(__xludf.DUMMYFUNCTION("VLOOKUP($G246, IMPORTRANGE(""https://docs.google.com/spreadsheets/d/1m0XUyo6H-YHIwm-JawEbLnxdQgU4gDApt1rpXCJkbqs/edit?gid=602588258#gid=602588258"", ""EQUIPOS!G4:523"") ,16,0)"),"#REF!")</f>
        <v>#REF!</v>
      </c>
      <c r="AC36" s="7"/>
    </row>
    <row r="37" spans="1:29" ht="42" customHeight="1">
      <c r="A37" s="7"/>
      <c r="B37" s="26">
        <v>246</v>
      </c>
      <c r="C37" s="41" t="b">
        <v>1</v>
      </c>
      <c r="D37" s="70" t="s">
        <v>58</v>
      </c>
      <c r="E37" s="27" t="s">
        <v>270</v>
      </c>
      <c r="F37" s="27" t="s">
        <v>308</v>
      </c>
      <c r="G37" s="27" t="s">
        <v>308</v>
      </c>
      <c r="H37" s="28" t="s">
        <v>309</v>
      </c>
      <c r="I37" s="27" t="s">
        <v>22</v>
      </c>
      <c r="J37" s="29">
        <v>6</v>
      </c>
      <c r="K37" s="30" t="s">
        <v>39</v>
      </c>
      <c r="L37" s="31" t="s">
        <v>310</v>
      </c>
      <c r="M37" s="32" t="s">
        <v>311</v>
      </c>
      <c r="N37" s="33" t="s">
        <v>312</v>
      </c>
      <c r="O37" s="33" t="s">
        <v>313</v>
      </c>
      <c r="P37" s="34" t="s">
        <v>314</v>
      </c>
      <c r="Q37" s="33" t="b">
        <v>0</v>
      </c>
      <c r="R37" s="33" t="s">
        <v>41</v>
      </c>
      <c r="S37" s="27" t="s">
        <v>42</v>
      </c>
      <c r="T37" s="55" t="s">
        <v>315</v>
      </c>
      <c r="U37" s="31" t="s">
        <v>67</v>
      </c>
      <c r="V37" s="45"/>
      <c r="W37" s="27"/>
      <c r="X37" s="34" t="s">
        <v>46</v>
      </c>
      <c r="Y37" s="36" t="str">
        <f ca="1">IFERROR(__xludf.DUMMYFUNCTION("VLOOKUP($G251, IMPORTRANGE(""https://docs.google.com/spreadsheets/d/1m0XUyo6H-YHIwm-JawEbLnxdQgU4gDApt1rpXCJkbqs/edit?gid=602588258#gid=602588258"", ""EQUIPOS!G4:523"") ,13,0)"),"#REF!")</f>
        <v>#REF!</v>
      </c>
      <c r="Z37" s="36" t="str">
        <f ca="1">IFERROR(__xludf.DUMMYFUNCTION("VLOOKUP($G251, IMPORTRANGE(""https://docs.google.com/spreadsheets/d/1m0XUyo6H-YHIwm-JawEbLnxdQgU4gDApt1rpXCJkbqs/edit?gid=602588258#gid=602588258"", ""EQUIPOS!G4:523"") ,14,0)"),"#REF!")</f>
        <v>#REF!</v>
      </c>
      <c r="AA37" s="36" t="str">
        <f ca="1">IFERROR(__xludf.DUMMYFUNCTION("VLOOKUP($G251, IMPORTRANGE(""https://docs.google.com/spreadsheets/d/1m0XUyo6H-YHIwm-JawEbLnxdQgU4gDApt1rpXCJkbqs/edit?gid=602588258#gid=602588258"", ""EQUIPOS!G4:523"") ,15,0)"),"#REF!")</f>
        <v>#REF!</v>
      </c>
      <c r="AB37" s="36" t="str">
        <f ca="1">IFERROR(__xludf.DUMMYFUNCTION("VLOOKUP($G251, IMPORTRANGE(""https://docs.google.com/spreadsheets/d/1m0XUyo6H-YHIwm-JawEbLnxdQgU4gDApt1rpXCJkbqs/edit?gid=602588258#gid=602588258"", ""EQUIPOS!G4:523"") ,16,0)"),"#REF!")</f>
        <v>#REF!</v>
      </c>
      <c r="AC37" s="7"/>
    </row>
    <row r="38" spans="1:29" ht="42" customHeight="1">
      <c r="A38" s="7"/>
      <c r="B38" s="26">
        <v>256</v>
      </c>
      <c r="C38" s="27" t="b">
        <v>1</v>
      </c>
      <c r="D38" s="70" t="s">
        <v>58</v>
      </c>
      <c r="E38" s="27" t="s">
        <v>270</v>
      </c>
      <c r="F38" s="27" t="s">
        <v>316</v>
      </c>
      <c r="G38" s="27" t="s">
        <v>316</v>
      </c>
      <c r="H38" s="28" t="s">
        <v>317</v>
      </c>
      <c r="I38" s="27" t="s">
        <v>22</v>
      </c>
      <c r="J38" s="29">
        <v>4</v>
      </c>
      <c r="K38" s="30" t="s">
        <v>39</v>
      </c>
      <c r="L38" s="31" t="s">
        <v>318</v>
      </c>
      <c r="M38" s="32" t="s">
        <v>297</v>
      </c>
      <c r="N38" s="33" t="s">
        <v>237</v>
      </c>
      <c r="O38" s="33" t="s">
        <v>319</v>
      </c>
      <c r="P38" s="34" t="s">
        <v>320</v>
      </c>
      <c r="Q38" s="33" t="b">
        <v>0</v>
      </c>
      <c r="R38" s="33" t="s">
        <v>41</v>
      </c>
      <c r="S38" s="35" t="s">
        <v>42</v>
      </c>
      <c r="T38" s="34" t="s">
        <v>321</v>
      </c>
      <c r="U38" s="31" t="s">
        <v>67</v>
      </c>
      <c r="V38" s="45"/>
      <c r="W38" s="27"/>
      <c r="X38" s="34" t="s">
        <v>44</v>
      </c>
      <c r="Y38" s="36" t="str">
        <f ca="1">IFERROR(__xludf.DUMMYFUNCTION("VLOOKUP($G261, IMPORTRANGE(""https://docs.google.com/spreadsheets/d/1m0XUyo6H-YHIwm-JawEbLnxdQgU4gDApt1rpXCJkbqs/edit?gid=602588258#gid=602588258"", ""EQUIPOS!G4:523"") ,13,0)"),"#REF!")</f>
        <v>#REF!</v>
      </c>
      <c r="Z38" s="36" t="str">
        <f ca="1">IFERROR(__xludf.DUMMYFUNCTION("VLOOKUP($G261, IMPORTRANGE(""https://docs.google.com/spreadsheets/d/1m0XUyo6H-YHIwm-JawEbLnxdQgU4gDApt1rpXCJkbqs/edit?gid=602588258#gid=602588258"", ""EQUIPOS!G4:523"") ,14,0)"),"#REF!")</f>
        <v>#REF!</v>
      </c>
      <c r="AA38" s="36" t="str">
        <f ca="1">IFERROR(__xludf.DUMMYFUNCTION("VLOOKUP($G261, IMPORTRANGE(""https://docs.google.com/spreadsheets/d/1m0XUyo6H-YHIwm-JawEbLnxdQgU4gDApt1rpXCJkbqs/edit?gid=602588258#gid=602588258"", ""EQUIPOS!G4:523"") ,15,0)"),"#REF!")</f>
        <v>#REF!</v>
      </c>
      <c r="AB38" s="36" t="str">
        <f ca="1">IFERROR(__xludf.DUMMYFUNCTION("VLOOKUP($G261, IMPORTRANGE(""https://docs.google.com/spreadsheets/d/1m0XUyo6H-YHIwm-JawEbLnxdQgU4gDApt1rpXCJkbqs/edit?gid=602588258#gid=602588258"", ""EQUIPOS!G4:523"") ,16,0)"),"#REF!")</f>
        <v>#REF!</v>
      </c>
      <c r="AC38" s="7"/>
    </row>
    <row r="39" spans="1:29" ht="42" customHeight="1">
      <c r="A39" s="7"/>
      <c r="B39" s="26">
        <v>257</v>
      </c>
      <c r="C39" s="41" t="b">
        <v>1</v>
      </c>
      <c r="D39" s="71" t="s">
        <v>58</v>
      </c>
      <c r="E39" s="41" t="s">
        <v>270</v>
      </c>
      <c r="F39" s="41" t="s">
        <v>322</v>
      </c>
      <c r="G39" s="41" t="s">
        <v>322</v>
      </c>
      <c r="H39" s="50" t="s">
        <v>323</v>
      </c>
      <c r="I39" s="27" t="s">
        <v>22</v>
      </c>
      <c r="J39" s="29">
        <v>4</v>
      </c>
      <c r="K39" s="30" t="s">
        <v>39</v>
      </c>
      <c r="L39" s="39" t="s">
        <v>324</v>
      </c>
      <c r="M39" s="32" t="s">
        <v>325</v>
      </c>
      <c r="N39" s="33" t="s">
        <v>237</v>
      </c>
      <c r="O39" s="33" t="s">
        <v>319</v>
      </c>
      <c r="P39" s="34" t="s">
        <v>326</v>
      </c>
      <c r="Q39" s="33" t="b">
        <v>0</v>
      </c>
      <c r="R39" s="33" t="s">
        <v>41</v>
      </c>
      <c r="S39" s="35" t="s">
        <v>42</v>
      </c>
      <c r="T39" s="34" t="s">
        <v>327</v>
      </c>
      <c r="U39" s="31" t="s">
        <v>67</v>
      </c>
      <c r="V39" s="45"/>
      <c r="W39" s="27"/>
      <c r="X39" s="34" t="s">
        <v>44</v>
      </c>
      <c r="Y39" s="36" t="str">
        <f ca="1">IFERROR(__xludf.DUMMYFUNCTION("VLOOKUP($G262, IMPORTRANGE(""https://docs.google.com/spreadsheets/d/1m0XUyo6H-YHIwm-JawEbLnxdQgU4gDApt1rpXCJkbqs/edit?gid=602588258#gid=602588258"", ""EQUIPOS!G4:523"") ,13,0)"),"#REF!")</f>
        <v>#REF!</v>
      </c>
      <c r="Z39" s="36" t="str">
        <f ca="1">IFERROR(__xludf.DUMMYFUNCTION("VLOOKUP($G262, IMPORTRANGE(""https://docs.google.com/spreadsheets/d/1m0XUyo6H-YHIwm-JawEbLnxdQgU4gDApt1rpXCJkbqs/edit?gid=602588258#gid=602588258"", ""EQUIPOS!G4:523"") ,14,0)"),"#REF!")</f>
        <v>#REF!</v>
      </c>
      <c r="AA39" s="36" t="str">
        <f ca="1">IFERROR(__xludf.DUMMYFUNCTION("VLOOKUP($G262, IMPORTRANGE(""https://docs.google.com/spreadsheets/d/1m0XUyo6H-YHIwm-JawEbLnxdQgU4gDApt1rpXCJkbqs/edit?gid=602588258#gid=602588258"", ""EQUIPOS!G4:523"") ,15,0)"),"#REF!")</f>
        <v>#REF!</v>
      </c>
      <c r="AB39" s="36" t="str">
        <f ca="1">IFERROR(__xludf.DUMMYFUNCTION("VLOOKUP($G262, IMPORTRANGE(""https://docs.google.com/spreadsheets/d/1m0XUyo6H-YHIwm-JawEbLnxdQgU4gDApt1rpXCJkbqs/edit?gid=602588258#gid=602588258"", ""EQUIPOS!G4:523"") ,16,0)"),"#REF!")</f>
        <v>#REF!</v>
      </c>
      <c r="AC39" s="7"/>
    </row>
    <row r="40" spans="1:29" ht="42" customHeight="1">
      <c r="A40" s="7"/>
      <c r="B40" s="26">
        <v>258</v>
      </c>
      <c r="C40" s="27" t="b">
        <v>1</v>
      </c>
      <c r="D40" s="70" t="s">
        <v>58</v>
      </c>
      <c r="E40" s="27" t="s">
        <v>270</v>
      </c>
      <c r="F40" s="27" t="s">
        <v>328</v>
      </c>
      <c r="G40" s="27" t="s">
        <v>328</v>
      </c>
      <c r="H40" s="28" t="s">
        <v>329</v>
      </c>
      <c r="I40" s="27" t="s">
        <v>22</v>
      </c>
      <c r="J40" s="29">
        <v>4</v>
      </c>
      <c r="K40" s="30" t="s">
        <v>39</v>
      </c>
      <c r="L40" s="31" t="s">
        <v>330</v>
      </c>
      <c r="M40" s="32" t="s">
        <v>40</v>
      </c>
      <c r="N40" s="33" t="s">
        <v>48</v>
      </c>
      <c r="O40" s="33" t="s">
        <v>331</v>
      </c>
      <c r="P40" s="34" t="s">
        <v>332</v>
      </c>
      <c r="Q40" s="33" t="b">
        <v>0</v>
      </c>
      <c r="R40" s="33" t="s">
        <v>41</v>
      </c>
      <c r="S40" s="35" t="s">
        <v>42</v>
      </c>
      <c r="T40" s="34" t="s">
        <v>333</v>
      </c>
      <c r="U40" s="31" t="s">
        <v>67</v>
      </c>
      <c r="V40" s="45"/>
      <c r="W40" s="27"/>
      <c r="X40" s="34" t="s">
        <v>54</v>
      </c>
      <c r="Y40" s="36" t="str">
        <f ca="1">IFERROR(__xludf.DUMMYFUNCTION("VLOOKUP($G263, IMPORTRANGE(""https://docs.google.com/spreadsheets/d/1m0XUyo6H-YHIwm-JawEbLnxdQgU4gDApt1rpXCJkbqs/edit?gid=602588258#gid=602588258"", ""EQUIPOS!G4:523"") ,13,0)"),"#REF!")</f>
        <v>#REF!</v>
      </c>
      <c r="Z40" s="36" t="str">
        <f ca="1">IFERROR(__xludf.DUMMYFUNCTION("VLOOKUP($G263, IMPORTRANGE(""https://docs.google.com/spreadsheets/d/1m0XUyo6H-YHIwm-JawEbLnxdQgU4gDApt1rpXCJkbqs/edit?gid=602588258#gid=602588258"", ""EQUIPOS!G4:523"") ,14,0)"),"#REF!")</f>
        <v>#REF!</v>
      </c>
      <c r="AA40" s="36" t="str">
        <f ca="1">IFERROR(__xludf.DUMMYFUNCTION("VLOOKUP($G263, IMPORTRANGE(""https://docs.google.com/spreadsheets/d/1m0XUyo6H-YHIwm-JawEbLnxdQgU4gDApt1rpXCJkbqs/edit?gid=602588258#gid=602588258"", ""EQUIPOS!G4:523"") ,15,0)"),"#REF!")</f>
        <v>#REF!</v>
      </c>
      <c r="AB40" s="36" t="str">
        <f ca="1">IFERROR(__xludf.DUMMYFUNCTION("VLOOKUP($G263, IMPORTRANGE(""https://docs.google.com/spreadsheets/d/1m0XUyo6H-YHIwm-JawEbLnxdQgU4gDApt1rpXCJkbqs/edit?gid=602588258#gid=602588258"", ""EQUIPOS!G4:523"") ,16,0)"),"#REF!")</f>
        <v>#REF!</v>
      </c>
      <c r="AC40" s="7"/>
    </row>
    <row r="41" spans="1:29" ht="42" customHeight="1">
      <c r="A41" s="7"/>
      <c r="B41" s="26">
        <v>259</v>
      </c>
      <c r="C41" s="27" t="b">
        <v>1</v>
      </c>
      <c r="D41" s="70" t="s">
        <v>58</v>
      </c>
      <c r="E41" s="27" t="s">
        <v>270</v>
      </c>
      <c r="F41" s="27" t="s">
        <v>334</v>
      </c>
      <c r="G41" s="27" t="s">
        <v>334</v>
      </c>
      <c r="H41" s="28" t="s">
        <v>335</v>
      </c>
      <c r="I41" s="27" t="s">
        <v>22</v>
      </c>
      <c r="J41" s="29">
        <v>8</v>
      </c>
      <c r="K41" s="30" t="s">
        <v>39</v>
      </c>
      <c r="L41" s="31" t="s">
        <v>336</v>
      </c>
      <c r="M41" s="32" t="s">
        <v>40</v>
      </c>
      <c r="N41" s="33" t="s">
        <v>337</v>
      </c>
      <c r="O41" s="33" t="s">
        <v>338</v>
      </c>
      <c r="P41" s="34" t="s">
        <v>339</v>
      </c>
      <c r="Q41" s="33" t="b">
        <v>0</v>
      </c>
      <c r="R41" s="33" t="s">
        <v>41</v>
      </c>
      <c r="S41" s="35" t="s">
        <v>42</v>
      </c>
      <c r="T41" s="34" t="s">
        <v>340</v>
      </c>
      <c r="U41" s="31" t="s">
        <v>67</v>
      </c>
      <c r="V41" s="45"/>
      <c r="W41" s="27"/>
      <c r="X41" s="34" t="s">
        <v>44</v>
      </c>
      <c r="Y41" s="36" t="str">
        <f ca="1">IFERROR(__xludf.DUMMYFUNCTION("VLOOKUP($G264, IMPORTRANGE(""https://docs.google.com/spreadsheets/d/1m0XUyo6H-YHIwm-JawEbLnxdQgU4gDApt1rpXCJkbqs/edit?gid=602588258#gid=602588258"", ""EQUIPOS!G4:523"") ,13,0)"),"#REF!")</f>
        <v>#REF!</v>
      </c>
      <c r="Z41" s="36" t="str">
        <f ca="1">IFERROR(__xludf.DUMMYFUNCTION("VLOOKUP($G264, IMPORTRANGE(""https://docs.google.com/spreadsheets/d/1m0XUyo6H-YHIwm-JawEbLnxdQgU4gDApt1rpXCJkbqs/edit?gid=602588258#gid=602588258"", ""EQUIPOS!G4:523"") ,14,0)"),"#REF!")</f>
        <v>#REF!</v>
      </c>
      <c r="AA41" s="36" t="str">
        <f ca="1">IFERROR(__xludf.DUMMYFUNCTION("VLOOKUP($G264, IMPORTRANGE(""https://docs.google.com/spreadsheets/d/1m0XUyo6H-YHIwm-JawEbLnxdQgU4gDApt1rpXCJkbqs/edit?gid=602588258#gid=602588258"", ""EQUIPOS!G4:523"") ,15,0)"),"#REF!")</f>
        <v>#REF!</v>
      </c>
      <c r="AB41" s="36" t="str">
        <f ca="1">IFERROR(__xludf.DUMMYFUNCTION("VLOOKUP($G264, IMPORTRANGE(""https://docs.google.com/spreadsheets/d/1m0XUyo6H-YHIwm-JawEbLnxdQgU4gDApt1rpXCJkbqs/edit?gid=602588258#gid=602588258"", ""EQUIPOS!G4:523"") ,16,0)"),"#REF!")</f>
        <v>#REF!</v>
      </c>
      <c r="AC41" s="7"/>
    </row>
    <row r="42" spans="1:29" ht="42" customHeight="1">
      <c r="A42" s="7"/>
      <c r="B42" s="26">
        <v>265</v>
      </c>
      <c r="C42" s="27" t="b">
        <v>1</v>
      </c>
      <c r="D42" s="70" t="s">
        <v>58</v>
      </c>
      <c r="E42" s="27" t="s">
        <v>270</v>
      </c>
      <c r="F42" s="27" t="s">
        <v>342</v>
      </c>
      <c r="G42" s="27" t="s">
        <v>343</v>
      </c>
      <c r="H42" s="28" t="s">
        <v>344</v>
      </c>
      <c r="I42" s="27" t="s">
        <v>22</v>
      </c>
      <c r="J42" s="29">
        <v>8</v>
      </c>
      <c r="K42" s="30" t="s">
        <v>39</v>
      </c>
      <c r="L42" s="31" t="s">
        <v>345</v>
      </c>
      <c r="M42" s="32" t="s">
        <v>40</v>
      </c>
      <c r="N42" s="33" t="s">
        <v>346</v>
      </c>
      <c r="O42" s="33">
        <v>508090</v>
      </c>
      <c r="P42" s="34" t="s">
        <v>347</v>
      </c>
      <c r="Q42" s="33" t="b">
        <v>0</v>
      </c>
      <c r="R42" s="33" t="s">
        <v>41</v>
      </c>
      <c r="S42" s="35" t="s">
        <v>42</v>
      </c>
      <c r="T42" s="34" t="s">
        <v>348</v>
      </c>
      <c r="U42" s="31" t="s">
        <v>67</v>
      </c>
      <c r="V42" s="27"/>
      <c r="W42" s="27"/>
      <c r="X42" s="34" t="s">
        <v>44</v>
      </c>
      <c r="Y42" s="36" t="str">
        <f ca="1">IFERROR(__xludf.DUMMYFUNCTION("VLOOKUP($G270, IMPORTRANGE(""https://docs.google.com/spreadsheets/d/1m0XUyo6H-YHIwm-JawEbLnxdQgU4gDApt1rpXCJkbqs/edit?gid=602588258#gid=602588258"", ""EQUIPOS!G4:523"") ,13,0)"),"#REF!")</f>
        <v>#REF!</v>
      </c>
      <c r="Z42" s="36" t="str">
        <f ca="1">IFERROR(__xludf.DUMMYFUNCTION("VLOOKUP($G270, IMPORTRANGE(""https://docs.google.com/spreadsheets/d/1m0XUyo6H-YHIwm-JawEbLnxdQgU4gDApt1rpXCJkbqs/edit?gid=602588258#gid=602588258"", ""EQUIPOS!G4:523"") ,14,0)"),"#REF!")</f>
        <v>#REF!</v>
      </c>
      <c r="AA42" s="36" t="str">
        <f ca="1">IFERROR(__xludf.DUMMYFUNCTION("VLOOKUP($G270, IMPORTRANGE(""https://docs.google.com/spreadsheets/d/1m0XUyo6H-YHIwm-JawEbLnxdQgU4gDApt1rpXCJkbqs/edit?gid=602588258#gid=602588258"", ""EQUIPOS!G4:523"") ,15,0)"),"#REF!")</f>
        <v>#REF!</v>
      </c>
      <c r="AB42" s="36" t="str">
        <f ca="1">IFERROR(__xludf.DUMMYFUNCTION("VLOOKUP($G270, IMPORTRANGE(""https://docs.google.com/spreadsheets/d/1m0XUyo6H-YHIwm-JawEbLnxdQgU4gDApt1rpXCJkbqs/edit?gid=602588258#gid=602588258"", ""EQUIPOS!G4:523"") ,16,0)"),"#REF!")</f>
        <v>#REF!</v>
      </c>
      <c r="AC42" s="7"/>
    </row>
    <row r="43" spans="1:29" ht="42" customHeight="1">
      <c r="A43" s="7"/>
      <c r="B43" s="26">
        <v>267</v>
      </c>
      <c r="C43" s="27" t="b">
        <v>1</v>
      </c>
      <c r="D43" s="70" t="s">
        <v>58</v>
      </c>
      <c r="E43" s="27" t="s">
        <v>270</v>
      </c>
      <c r="F43" s="27" t="s">
        <v>349</v>
      </c>
      <c r="G43" s="27" t="s">
        <v>349</v>
      </c>
      <c r="H43" s="28" t="s">
        <v>350</v>
      </c>
      <c r="I43" s="27" t="s">
        <v>22</v>
      </c>
      <c r="J43" s="29">
        <v>8</v>
      </c>
      <c r="K43" s="30" t="s">
        <v>39</v>
      </c>
      <c r="L43" s="31" t="s">
        <v>351</v>
      </c>
      <c r="M43" s="32" t="s">
        <v>297</v>
      </c>
      <c r="N43" s="33" t="s">
        <v>69</v>
      </c>
      <c r="O43" s="33">
        <v>14376</v>
      </c>
      <c r="P43" s="34" t="s">
        <v>352</v>
      </c>
      <c r="Q43" s="33" t="b">
        <v>0</v>
      </c>
      <c r="R43" s="33" t="s">
        <v>41</v>
      </c>
      <c r="S43" s="35" t="s">
        <v>42</v>
      </c>
      <c r="T43" s="34" t="s">
        <v>353</v>
      </c>
      <c r="U43" s="31" t="s">
        <v>67</v>
      </c>
      <c r="V43" s="27"/>
      <c r="W43" s="27"/>
      <c r="X43" s="34" t="s">
        <v>44</v>
      </c>
      <c r="Y43" s="36" t="str">
        <f ca="1">IFERROR(__xludf.DUMMYFUNCTION("VLOOKUP($G272, IMPORTRANGE(""https://docs.google.com/spreadsheets/d/1m0XUyo6H-YHIwm-JawEbLnxdQgU4gDApt1rpXCJkbqs/edit?gid=602588258#gid=602588258"", ""EQUIPOS!G4:523"") ,13,0)"),"#REF!")</f>
        <v>#REF!</v>
      </c>
      <c r="Z43" s="36" t="str">
        <f ca="1">IFERROR(__xludf.DUMMYFUNCTION("VLOOKUP($G272, IMPORTRANGE(""https://docs.google.com/spreadsheets/d/1m0XUyo6H-YHIwm-JawEbLnxdQgU4gDApt1rpXCJkbqs/edit?gid=602588258#gid=602588258"", ""EQUIPOS!G4:523"") ,14,0)"),"#REF!")</f>
        <v>#REF!</v>
      </c>
      <c r="AA43" s="36" t="str">
        <f ca="1">IFERROR(__xludf.DUMMYFUNCTION("VLOOKUP($G272, IMPORTRANGE(""https://docs.google.com/spreadsheets/d/1m0XUyo6H-YHIwm-JawEbLnxdQgU4gDApt1rpXCJkbqs/edit?gid=602588258#gid=602588258"", ""EQUIPOS!G4:523"") ,15,0)"),"#REF!")</f>
        <v>#REF!</v>
      </c>
      <c r="AB43" s="36" t="str">
        <f ca="1">IFERROR(__xludf.DUMMYFUNCTION("VLOOKUP($G272, IMPORTRANGE(""https://docs.google.com/spreadsheets/d/1m0XUyo6H-YHIwm-JawEbLnxdQgU4gDApt1rpXCJkbqs/edit?gid=602588258#gid=602588258"", ""EQUIPOS!G4:523"") ,16,0)"),"#REF!")</f>
        <v>#REF!</v>
      </c>
      <c r="AC43" s="7"/>
    </row>
    <row r="44" spans="1:29" ht="42" customHeight="1">
      <c r="A44" s="7"/>
      <c r="B44" s="26">
        <v>268</v>
      </c>
      <c r="C44" s="27" t="b">
        <v>1</v>
      </c>
      <c r="D44" s="70" t="s">
        <v>58</v>
      </c>
      <c r="E44" s="27" t="s">
        <v>270</v>
      </c>
      <c r="F44" s="27" t="s">
        <v>354</v>
      </c>
      <c r="G44" s="27" t="s">
        <v>355</v>
      </c>
      <c r="H44" s="28" t="s">
        <v>356</v>
      </c>
      <c r="I44" s="27" t="s">
        <v>22</v>
      </c>
      <c r="J44" s="29">
        <v>8</v>
      </c>
      <c r="K44" s="30" t="s">
        <v>39</v>
      </c>
      <c r="L44" s="31" t="s">
        <v>357</v>
      </c>
      <c r="M44" s="32" t="s">
        <v>40</v>
      </c>
      <c r="N44" s="33" t="s">
        <v>69</v>
      </c>
      <c r="O44" s="33">
        <v>14376</v>
      </c>
      <c r="P44" s="34" t="s">
        <v>352</v>
      </c>
      <c r="Q44" s="33" t="b">
        <v>0</v>
      </c>
      <c r="R44" s="33" t="s">
        <v>41</v>
      </c>
      <c r="S44" s="35" t="s">
        <v>42</v>
      </c>
      <c r="T44" s="34" t="s">
        <v>358</v>
      </c>
      <c r="U44" s="31" t="s">
        <v>67</v>
      </c>
      <c r="V44" s="27"/>
      <c r="W44" s="27"/>
      <c r="X44" s="34" t="s">
        <v>44</v>
      </c>
      <c r="Y44" s="36" t="str">
        <f ca="1">IFERROR(__xludf.DUMMYFUNCTION("VLOOKUP($G273, IMPORTRANGE(""https://docs.google.com/spreadsheets/d/1m0XUyo6H-YHIwm-JawEbLnxdQgU4gDApt1rpXCJkbqs/edit?gid=602588258#gid=602588258"", ""EQUIPOS!G4:523"") ,13,0)"),"#REF!")</f>
        <v>#REF!</v>
      </c>
      <c r="Z44" s="36" t="str">
        <f ca="1">IFERROR(__xludf.DUMMYFUNCTION("VLOOKUP($G273, IMPORTRANGE(""https://docs.google.com/spreadsheets/d/1m0XUyo6H-YHIwm-JawEbLnxdQgU4gDApt1rpXCJkbqs/edit?gid=602588258#gid=602588258"", ""EQUIPOS!G4:523"") ,14,0)"),"#REF!")</f>
        <v>#REF!</v>
      </c>
      <c r="AA44" s="36" t="str">
        <f ca="1">IFERROR(__xludf.DUMMYFUNCTION("VLOOKUP($G273, IMPORTRANGE(""https://docs.google.com/spreadsheets/d/1m0XUyo6H-YHIwm-JawEbLnxdQgU4gDApt1rpXCJkbqs/edit?gid=602588258#gid=602588258"", ""EQUIPOS!G4:523"") ,15,0)"),"#REF!")</f>
        <v>#REF!</v>
      </c>
      <c r="AB44" s="36" t="str">
        <f ca="1">IFERROR(__xludf.DUMMYFUNCTION("VLOOKUP($G273, IMPORTRANGE(""https://docs.google.com/spreadsheets/d/1m0XUyo6H-YHIwm-JawEbLnxdQgU4gDApt1rpXCJkbqs/edit?gid=602588258#gid=602588258"", ""EQUIPOS!G4:523"") ,16,0)"),"#REF!")</f>
        <v>#REF!</v>
      </c>
      <c r="AC44" s="7"/>
    </row>
    <row r="45" spans="1:29" ht="42" customHeight="1">
      <c r="A45" s="7"/>
      <c r="B45" s="26">
        <v>275</v>
      </c>
      <c r="C45" s="27" t="b">
        <v>1</v>
      </c>
      <c r="D45" s="70" t="s">
        <v>58</v>
      </c>
      <c r="E45" s="27" t="s">
        <v>270</v>
      </c>
      <c r="F45" s="27" t="s">
        <v>359</v>
      </c>
      <c r="G45" s="27" t="s">
        <v>359</v>
      </c>
      <c r="H45" s="28" t="s">
        <v>360</v>
      </c>
      <c r="I45" s="27" t="s">
        <v>22</v>
      </c>
      <c r="J45" s="29">
        <v>8</v>
      </c>
      <c r="K45" s="30" t="s">
        <v>39</v>
      </c>
      <c r="L45" s="31" t="s">
        <v>361</v>
      </c>
      <c r="M45" s="32" t="s">
        <v>40</v>
      </c>
      <c r="N45" s="33" t="s">
        <v>362</v>
      </c>
      <c r="O45" s="33" t="s">
        <v>363</v>
      </c>
      <c r="P45" s="34" t="s">
        <v>364</v>
      </c>
      <c r="Q45" s="33" t="b">
        <v>0</v>
      </c>
      <c r="R45" s="33" t="s">
        <v>41</v>
      </c>
      <c r="S45" s="35" t="s">
        <v>42</v>
      </c>
      <c r="T45" s="34" t="s">
        <v>365</v>
      </c>
      <c r="U45" s="31" t="s">
        <v>67</v>
      </c>
      <c r="V45" s="27"/>
      <c r="W45" s="27"/>
      <c r="X45" s="34" t="s">
        <v>44</v>
      </c>
      <c r="Y45" s="36" t="str">
        <f ca="1">IFERROR(__xludf.DUMMYFUNCTION("VLOOKUP($G280, IMPORTRANGE(""https://docs.google.com/spreadsheets/d/1m0XUyo6H-YHIwm-JawEbLnxdQgU4gDApt1rpXCJkbqs/edit?gid=602588258#gid=602588258"", ""EQUIPOS!G4:523"") ,13,0)"),"#REF!")</f>
        <v>#REF!</v>
      </c>
      <c r="Z45" s="36" t="str">
        <f ca="1">IFERROR(__xludf.DUMMYFUNCTION("VLOOKUP($G280, IMPORTRANGE(""https://docs.google.com/spreadsheets/d/1m0XUyo6H-YHIwm-JawEbLnxdQgU4gDApt1rpXCJkbqs/edit?gid=602588258#gid=602588258"", ""EQUIPOS!G4:523"") ,14,0)"),"#REF!")</f>
        <v>#REF!</v>
      </c>
      <c r="AA45" s="36" t="str">
        <f ca="1">IFERROR(__xludf.DUMMYFUNCTION("VLOOKUP($G280, IMPORTRANGE(""https://docs.google.com/spreadsheets/d/1m0XUyo6H-YHIwm-JawEbLnxdQgU4gDApt1rpXCJkbqs/edit?gid=602588258#gid=602588258"", ""EQUIPOS!G4:523"") ,15,0)"),"#REF!")</f>
        <v>#REF!</v>
      </c>
      <c r="AB45" s="36" t="str">
        <f ca="1">IFERROR(__xludf.DUMMYFUNCTION("VLOOKUP($G280, IMPORTRANGE(""https://docs.google.com/spreadsheets/d/1m0XUyo6H-YHIwm-JawEbLnxdQgU4gDApt1rpXCJkbqs/edit?gid=602588258#gid=602588258"", ""EQUIPOS!G4:523"") ,16,0)"),"#REF!")</f>
        <v>#REF!</v>
      </c>
      <c r="AC45" s="7"/>
    </row>
    <row r="46" spans="1:29" ht="42" customHeight="1">
      <c r="A46" s="7"/>
      <c r="B46" s="26">
        <v>278</v>
      </c>
      <c r="C46" s="27" t="b">
        <v>1</v>
      </c>
      <c r="D46" s="70" t="s">
        <v>58</v>
      </c>
      <c r="E46" s="27" t="s">
        <v>270</v>
      </c>
      <c r="F46" s="27" t="s">
        <v>367</v>
      </c>
      <c r="G46" s="27" t="s">
        <v>367</v>
      </c>
      <c r="H46" s="28" t="s">
        <v>368</v>
      </c>
      <c r="I46" s="27" t="s">
        <v>22</v>
      </c>
      <c r="J46" s="29">
        <v>8</v>
      </c>
      <c r="K46" s="30" t="s">
        <v>39</v>
      </c>
      <c r="L46" s="31" t="s">
        <v>369</v>
      </c>
      <c r="M46" s="32" t="s">
        <v>40</v>
      </c>
      <c r="N46" s="33" t="s">
        <v>370</v>
      </c>
      <c r="O46" s="33" t="s">
        <v>371</v>
      </c>
      <c r="P46" s="34" t="s">
        <v>372</v>
      </c>
      <c r="Q46" s="33" t="b">
        <v>0</v>
      </c>
      <c r="R46" s="33" t="s">
        <v>41</v>
      </c>
      <c r="S46" s="16" t="s">
        <v>42</v>
      </c>
      <c r="T46" s="34" t="s">
        <v>373</v>
      </c>
      <c r="U46" s="31" t="s">
        <v>67</v>
      </c>
      <c r="V46" s="27"/>
      <c r="W46" s="27"/>
      <c r="X46" s="34" t="s">
        <v>44</v>
      </c>
      <c r="Y46" s="36" t="str">
        <f ca="1">IFERROR(__xludf.DUMMYFUNCTION("VLOOKUP($G283, IMPORTRANGE(""https://docs.google.com/spreadsheets/d/1m0XUyo6H-YHIwm-JawEbLnxdQgU4gDApt1rpXCJkbqs/edit?gid=602588258#gid=602588258"", ""EQUIPOS!G4:523"") ,13,0)"),"#REF!")</f>
        <v>#REF!</v>
      </c>
      <c r="Z46" s="36" t="str">
        <f ca="1">IFERROR(__xludf.DUMMYFUNCTION("VLOOKUP($G283, IMPORTRANGE(""https://docs.google.com/spreadsheets/d/1m0XUyo6H-YHIwm-JawEbLnxdQgU4gDApt1rpXCJkbqs/edit?gid=602588258#gid=602588258"", ""EQUIPOS!G4:523"") ,14,0)"),"#REF!")</f>
        <v>#REF!</v>
      </c>
      <c r="AA46" s="36" t="str">
        <f ca="1">IFERROR(__xludf.DUMMYFUNCTION("VLOOKUP($G283, IMPORTRANGE(""https://docs.google.com/spreadsheets/d/1m0XUyo6H-YHIwm-JawEbLnxdQgU4gDApt1rpXCJkbqs/edit?gid=602588258#gid=602588258"", ""EQUIPOS!G4:523"") ,15,0)"),"#REF!")</f>
        <v>#REF!</v>
      </c>
      <c r="AB46" s="36" t="str">
        <f ca="1">IFERROR(__xludf.DUMMYFUNCTION("VLOOKUP($G283, IMPORTRANGE(""https://docs.google.com/spreadsheets/d/1m0XUyo6H-YHIwm-JawEbLnxdQgU4gDApt1rpXCJkbqs/edit?gid=602588258#gid=602588258"", ""EQUIPOS!G4:523"") ,16,0)"),"#REF!")</f>
        <v>#REF!</v>
      </c>
      <c r="AC46" s="7"/>
    </row>
    <row r="47" spans="1:29" ht="42" customHeight="1">
      <c r="A47" s="7"/>
      <c r="B47" s="26">
        <v>281</v>
      </c>
      <c r="C47" s="27" t="b">
        <v>1</v>
      </c>
      <c r="D47" s="70" t="s">
        <v>58</v>
      </c>
      <c r="E47" s="27" t="s">
        <v>270</v>
      </c>
      <c r="F47" s="27" t="s">
        <v>375</v>
      </c>
      <c r="G47" s="27" t="s">
        <v>375</v>
      </c>
      <c r="H47" s="28" t="s">
        <v>376</v>
      </c>
      <c r="I47" s="27" t="s">
        <v>22</v>
      </c>
      <c r="J47" s="29">
        <v>8</v>
      </c>
      <c r="K47" s="30" t="s">
        <v>39</v>
      </c>
      <c r="L47" s="31" t="s">
        <v>377</v>
      </c>
      <c r="M47" s="32" t="s">
        <v>40</v>
      </c>
      <c r="N47" s="33" t="s">
        <v>378</v>
      </c>
      <c r="O47" s="33" t="s">
        <v>379</v>
      </c>
      <c r="P47" s="34" t="s">
        <v>380</v>
      </c>
      <c r="Q47" s="33" t="b">
        <v>0</v>
      </c>
      <c r="R47" s="33" t="s">
        <v>41</v>
      </c>
      <c r="S47" s="16" t="s">
        <v>42</v>
      </c>
      <c r="T47" s="34" t="s">
        <v>381</v>
      </c>
      <c r="U47" s="31" t="s">
        <v>67</v>
      </c>
      <c r="V47" s="27"/>
      <c r="W47" s="27"/>
      <c r="X47" s="34" t="s">
        <v>54</v>
      </c>
      <c r="Y47" s="36" t="str">
        <f ca="1">IFERROR(__xludf.DUMMYFUNCTION("VLOOKUP($G286, IMPORTRANGE(""https://docs.google.com/spreadsheets/d/1m0XUyo6H-YHIwm-JawEbLnxdQgU4gDApt1rpXCJkbqs/edit?gid=602588258#gid=602588258"", ""EQUIPOS!G4:523"") ,13,0)"),"#REF!")</f>
        <v>#REF!</v>
      </c>
      <c r="Z47" s="36" t="str">
        <f ca="1">IFERROR(__xludf.DUMMYFUNCTION("VLOOKUP($G286, IMPORTRANGE(""https://docs.google.com/spreadsheets/d/1m0XUyo6H-YHIwm-JawEbLnxdQgU4gDApt1rpXCJkbqs/edit?gid=602588258#gid=602588258"", ""EQUIPOS!G4:523"") ,14,0)"),"#REF!")</f>
        <v>#REF!</v>
      </c>
      <c r="AA47" s="36" t="str">
        <f ca="1">IFERROR(__xludf.DUMMYFUNCTION("VLOOKUP($G286, IMPORTRANGE(""https://docs.google.com/spreadsheets/d/1m0XUyo6H-YHIwm-JawEbLnxdQgU4gDApt1rpXCJkbqs/edit?gid=602588258#gid=602588258"", ""EQUIPOS!G4:523"") ,15,0)"),"#REF!")</f>
        <v>#REF!</v>
      </c>
      <c r="AB47" s="36" t="str">
        <f ca="1">IFERROR(__xludf.DUMMYFUNCTION("VLOOKUP($G286, IMPORTRANGE(""https://docs.google.com/spreadsheets/d/1m0XUyo6H-YHIwm-JawEbLnxdQgU4gDApt1rpXCJkbqs/edit?gid=602588258#gid=602588258"", ""EQUIPOS!G4:523"") ,16,0)"),"#REF!")</f>
        <v>#REF!</v>
      </c>
      <c r="AC47" s="7"/>
    </row>
    <row r="48" spans="1:29" ht="42" customHeight="1">
      <c r="A48" s="7"/>
      <c r="B48" s="26">
        <v>282</v>
      </c>
      <c r="C48" s="27" t="b">
        <v>1</v>
      </c>
      <c r="D48" s="70" t="s">
        <v>58</v>
      </c>
      <c r="E48" s="27" t="s">
        <v>270</v>
      </c>
      <c r="F48" s="27" t="s">
        <v>382</v>
      </c>
      <c r="G48" s="27" t="s">
        <v>382</v>
      </c>
      <c r="H48" s="28" t="s">
        <v>383</v>
      </c>
      <c r="I48" s="27" t="s">
        <v>22</v>
      </c>
      <c r="J48" s="29">
        <v>8</v>
      </c>
      <c r="K48" s="30" t="s">
        <v>39</v>
      </c>
      <c r="L48" s="31" t="s">
        <v>384</v>
      </c>
      <c r="M48" s="32" t="s">
        <v>385</v>
      </c>
      <c r="N48" s="33" t="s">
        <v>386</v>
      </c>
      <c r="O48" s="33" t="s">
        <v>387</v>
      </c>
      <c r="P48" s="34" t="s">
        <v>388</v>
      </c>
      <c r="Q48" s="33" t="b">
        <v>0</v>
      </c>
      <c r="R48" s="33" t="s">
        <v>41</v>
      </c>
      <c r="S48" s="16" t="s">
        <v>42</v>
      </c>
      <c r="T48" s="46" t="s">
        <v>389</v>
      </c>
      <c r="U48" s="31" t="s">
        <v>67</v>
      </c>
      <c r="V48" s="27"/>
      <c r="W48" s="27"/>
      <c r="X48" s="34" t="s">
        <v>46</v>
      </c>
      <c r="Y48" s="36" t="str">
        <f ca="1">IFERROR(__xludf.DUMMYFUNCTION("VLOOKUP($G287, IMPORTRANGE(""https://docs.google.com/spreadsheets/d/1m0XUyo6H-YHIwm-JawEbLnxdQgU4gDApt1rpXCJkbqs/edit?gid=602588258#gid=602588258"", ""EQUIPOS!G4:523"") ,13,0)"),"#REF!")</f>
        <v>#REF!</v>
      </c>
      <c r="Z48" s="36" t="str">
        <f ca="1">IFERROR(__xludf.DUMMYFUNCTION("VLOOKUP($G287, IMPORTRANGE(""https://docs.google.com/spreadsheets/d/1m0XUyo6H-YHIwm-JawEbLnxdQgU4gDApt1rpXCJkbqs/edit?gid=602588258#gid=602588258"", ""EQUIPOS!G4:523"") ,14,0)"),"#REF!")</f>
        <v>#REF!</v>
      </c>
      <c r="AA48" s="36" t="str">
        <f ca="1">IFERROR(__xludf.DUMMYFUNCTION("VLOOKUP($G287, IMPORTRANGE(""https://docs.google.com/spreadsheets/d/1m0XUyo6H-YHIwm-JawEbLnxdQgU4gDApt1rpXCJkbqs/edit?gid=602588258#gid=602588258"", ""EQUIPOS!G4:523"") ,15,0)"),"#REF!")</f>
        <v>#REF!</v>
      </c>
      <c r="AB48" s="36" t="str">
        <f ca="1">IFERROR(__xludf.DUMMYFUNCTION("VLOOKUP($G287, IMPORTRANGE(""https://docs.google.com/spreadsheets/d/1m0XUyo6H-YHIwm-JawEbLnxdQgU4gDApt1rpXCJkbqs/edit?gid=602588258#gid=602588258"", ""EQUIPOS!G4:523"") ,16,0)"),"#REF!")</f>
        <v>#REF!</v>
      </c>
      <c r="AC48" s="7"/>
    </row>
    <row r="49" spans="1:29" ht="42" customHeight="1">
      <c r="A49" s="7"/>
      <c r="B49" s="26">
        <v>286</v>
      </c>
      <c r="C49" s="27" t="b">
        <v>1</v>
      </c>
      <c r="D49" s="70" t="s">
        <v>58</v>
      </c>
      <c r="E49" s="27" t="s">
        <v>270</v>
      </c>
      <c r="F49" s="27" t="s">
        <v>392</v>
      </c>
      <c r="G49" s="27" t="s">
        <v>392</v>
      </c>
      <c r="H49" s="28" t="s">
        <v>393</v>
      </c>
      <c r="I49" s="27" t="s">
        <v>22</v>
      </c>
      <c r="J49" s="29">
        <v>8</v>
      </c>
      <c r="K49" s="30" t="s">
        <v>39</v>
      </c>
      <c r="L49" s="31" t="s">
        <v>394</v>
      </c>
      <c r="M49" s="32" t="s">
        <v>40</v>
      </c>
      <c r="N49" s="33" t="s">
        <v>395</v>
      </c>
      <c r="O49" s="33">
        <v>191344520733</v>
      </c>
      <c r="P49" s="34" t="s">
        <v>396</v>
      </c>
      <c r="Q49" s="33" t="b">
        <v>0</v>
      </c>
      <c r="R49" s="33" t="s">
        <v>41</v>
      </c>
      <c r="S49" s="16" t="s">
        <v>42</v>
      </c>
      <c r="T49" s="57" t="s">
        <v>397</v>
      </c>
      <c r="U49" s="31" t="s">
        <v>67</v>
      </c>
      <c r="V49" s="27"/>
      <c r="W49" s="27"/>
      <c r="X49" s="34" t="s">
        <v>54</v>
      </c>
      <c r="Y49" s="36" t="str">
        <f ca="1">IFERROR(__xludf.DUMMYFUNCTION("VLOOKUP($G291, IMPORTRANGE(""https://docs.google.com/spreadsheets/d/1m0XUyo6H-YHIwm-JawEbLnxdQgU4gDApt1rpXCJkbqs/edit?gid=602588258#gid=602588258"", ""EQUIPOS!G4:523"") ,13,0)"),"#REF!")</f>
        <v>#REF!</v>
      </c>
      <c r="Z49" s="36" t="str">
        <f ca="1">IFERROR(__xludf.DUMMYFUNCTION("VLOOKUP($G291, IMPORTRANGE(""https://docs.google.com/spreadsheets/d/1m0XUyo6H-YHIwm-JawEbLnxdQgU4gDApt1rpXCJkbqs/edit?gid=602588258#gid=602588258"", ""EQUIPOS!G4:523"") ,14,0)"),"#REF!")</f>
        <v>#REF!</v>
      </c>
      <c r="AA49" s="36" t="str">
        <f ca="1">IFERROR(__xludf.DUMMYFUNCTION("VLOOKUP($G291, IMPORTRANGE(""https://docs.google.com/spreadsheets/d/1m0XUyo6H-YHIwm-JawEbLnxdQgU4gDApt1rpXCJkbqs/edit?gid=602588258#gid=602588258"", ""EQUIPOS!G4:523"") ,15,0)"),"#REF!")</f>
        <v>#REF!</v>
      </c>
      <c r="AB49" s="36" t="str">
        <f ca="1">IFERROR(__xludf.DUMMYFUNCTION("VLOOKUP($G291, IMPORTRANGE(""https://docs.google.com/spreadsheets/d/1m0XUyo6H-YHIwm-JawEbLnxdQgU4gDApt1rpXCJkbqs/edit?gid=602588258#gid=602588258"", ""EQUIPOS!G4:523"") ,16,0)"),"#REF!")</f>
        <v>#REF!</v>
      </c>
      <c r="AC49" s="7"/>
    </row>
    <row r="50" spans="1:29" ht="42" customHeight="1">
      <c r="A50" s="7"/>
      <c r="B50" s="26">
        <v>288</v>
      </c>
      <c r="C50" s="27" t="b">
        <v>1</v>
      </c>
      <c r="D50" s="70" t="s">
        <v>58</v>
      </c>
      <c r="E50" s="27" t="s">
        <v>270</v>
      </c>
      <c r="F50" s="27" t="s">
        <v>398</v>
      </c>
      <c r="G50" s="27" t="s">
        <v>398</v>
      </c>
      <c r="H50" s="28" t="s">
        <v>399</v>
      </c>
      <c r="I50" s="27" t="s">
        <v>22</v>
      </c>
      <c r="J50" s="29">
        <v>8</v>
      </c>
      <c r="K50" s="30" t="s">
        <v>39</v>
      </c>
      <c r="L50" s="31" t="s">
        <v>400</v>
      </c>
      <c r="M50" s="32" t="s">
        <v>40</v>
      </c>
      <c r="N50" s="33" t="s">
        <v>69</v>
      </c>
      <c r="O50" s="33" t="s">
        <v>390</v>
      </c>
      <c r="P50" s="34" t="s">
        <v>391</v>
      </c>
      <c r="Q50" s="33" t="b">
        <v>0</v>
      </c>
      <c r="R50" s="33" t="s">
        <v>41</v>
      </c>
      <c r="S50" s="35" t="s">
        <v>42</v>
      </c>
      <c r="T50" s="57" t="s">
        <v>401</v>
      </c>
      <c r="U50" s="31" t="s">
        <v>67</v>
      </c>
      <c r="V50" s="27"/>
      <c r="W50" s="27"/>
      <c r="X50" s="34" t="s">
        <v>54</v>
      </c>
      <c r="Y50" s="36" t="str">
        <f ca="1">IFERROR(__xludf.DUMMYFUNCTION("VLOOKUP($G293, IMPORTRANGE(""https://docs.google.com/spreadsheets/d/1m0XUyo6H-YHIwm-JawEbLnxdQgU4gDApt1rpXCJkbqs/edit?gid=602588258#gid=602588258"", ""EQUIPOS!G4:523"") ,13,0)"),"#REF!")</f>
        <v>#REF!</v>
      </c>
      <c r="Z50" s="36" t="str">
        <f ca="1">IFERROR(__xludf.DUMMYFUNCTION("VLOOKUP($G293, IMPORTRANGE(""https://docs.google.com/spreadsheets/d/1m0XUyo6H-YHIwm-JawEbLnxdQgU4gDApt1rpXCJkbqs/edit?gid=602588258#gid=602588258"", ""EQUIPOS!G4:523"") ,14,0)"),"#REF!")</f>
        <v>#REF!</v>
      </c>
      <c r="AA50" s="36" t="str">
        <f ca="1">IFERROR(__xludf.DUMMYFUNCTION("VLOOKUP($G293, IMPORTRANGE(""https://docs.google.com/spreadsheets/d/1m0XUyo6H-YHIwm-JawEbLnxdQgU4gDApt1rpXCJkbqs/edit?gid=602588258#gid=602588258"", ""EQUIPOS!G4:523"") ,15,0)"),"#REF!")</f>
        <v>#REF!</v>
      </c>
      <c r="AB50" s="36" t="str">
        <f ca="1">IFERROR(__xludf.DUMMYFUNCTION("VLOOKUP($G293, IMPORTRANGE(""https://docs.google.com/spreadsheets/d/1m0XUyo6H-YHIwm-JawEbLnxdQgU4gDApt1rpXCJkbqs/edit?gid=602588258#gid=602588258"", ""EQUIPOS!G4:523"") ,16,0)"),"#REF!")</f>
        <v>#REF!</v>
      </c>
      <c r="AC50" s="7"/>
    </row>
    <row r="51" spans="1:29" ht="42" customHeight="1">
      <c r="A51" s="7"/>
      <c r="B51" s="26">
        <v>289</v>
      </c>
      <c r="C51" s="27" t="b">
        <v>1</v>
      </c>
      <c r="D51" s="70" t="s">
        <v>58</v>
      </c>
      <c r="E51" s="27" t="s">
        <v>270</v>
      </c>
      <c r="F51" s="27" t="s">
        <v>402</v>
      </c>
      <c r="G51" s="27" t="s">
        <v>402</v>
      </c>
      <c r="H51" s="28" t="s">
        <v>403</v>
      </c>
      <c r="I51" s="27" t="s">
        <v>22</v>
      </c>
      <c r="J51" s="29">
        <v>8</v>
      </c>
      <c r="K51" s="30" t="s">
        <v>39</v>
      </c>
      <c r="L51" s="31" t="s">
        <v>404</v>
      </c>
      <c r="M51" s="32" t="s">
        <v>405</v>
      </c>
      <c r="N51" s="33" t="s">
        <v>406</v>
      </c>
      <c r="O51" s="33">
        <v>302466</v>
      </c>
      <c r="P51" s="58" t="s">
        <v>407</v>
      </c>
      <c r="Q51" s="33" t="b">
        <v>0</v>
      </c>
      <c r="R51" s="33" t="s">
        <v>41</v>
      </c>
      <c r="S51" s="16" t="s">
        <v>42</v>
      </c>
      <c r="T51" s="34" t="s">
        <v>408</v>
      </c>
      <c r="U51" s="31" t="s">
        <v>67</v>
      </c>
      <c r="V51" s="27"/>
      <c r="W51" s="27"/>
      <c r="X51" s="34" t="s">
        <v>57</v>
      </c>
      <c r="Y51" s="36" t="str">
        <f ca="1">IFERROR(__xludf.DUMMYFUNCTION("VLOOKUP($G294, IMPORTRANGE(""https://docs.google.com/spreadsheets/d/1m0XUyo6H-YHIwm-JawEbLnxdQgU4gDApt1rpXCJkbqs/edit?gid=602588258#gid=602588258"", ""EQUIPOS!G4:523"") ,13,0)"),"#REF!")</f>
        <v>#REF!</v>
      </c>
      <c r="Z51" s="36" t="str">
        <f ca="1">IFERROR(__xludf.DUMMYFUNCTION("VLOOKUP($G294, IMPORTRANGE(""https://docs.google.com/spreadsheets/d/1m0XUyo6H-YHIwm-JawEbLnxdQgU4gDApt1rpXCJkbqs/edit?gid=602588258#gid=602588258"", ""EQUIPOS!G4:523"") ,14,0)"),"#REF!")</f>
        <v>#REF!</v>
      </c>
      <c r="AA51" s="36" t="str">
        <f ca="1">IFERROR(__xludf.DUMMYFUNCTION("VLOOKUP($G294, IMPORTRANGE(""https://docs.google.com/spreadsheets/d/1m0XUyo6H-YHIwm-JawEbLnxdQgU4gDApt1rpXCJkbqs/edit?gid=602588258#gid=602588258"", ""EQUIPOS!G4:523"") ,15,0)"),"#REF!")</f>
        <v>#REF!</v>
      </c>
      <c r="AB51" s="36" t="str">
        <f ca="1">IFERROR(__xludf.DUMMYFUNCTION("VLOOKUP($G294, IMPORTRANGE(""https://docs.google.com/spreadsheets/d/1m0XUyo6H-YHIwm-JawEbLnxdQgU4gDApt1rpXCJkbqs/edit?gid=602588258#gid=602588258"", ""EQUIPOS!G4:523"") ,16,0)"),"#REF!")</f>
        <v>#REF!</v>
      </c>
      <c r="AC51" s="40"/>
    </row>
    <row r="52" spans="1:29" ht="42" customHeight="1">
      <c r="A52" s="7"/>
      <c r="B52" s="26">
        <v>290</v>
      </c>
      <c r="C52" s="27" t="b">
        <v>1</v>
      </c>
      <c r="D52" s="70" t="s">
        <v>58</v>
      </c>
      <c r="E52" s="27" t="s">
        <v>270</v>
      </c>
      <c r="F52" s="27" t="s">
        <v>409</v>
      </c>
      <c r="G52" s="27" t="s">
        <v>409</v>
      </c>
      <c r="H52" s="28" t="s">
        <v>410</v>
      </c>
      <c r="I52" s="27" t="s">
        <v>22</v>
      </c>
      <c r="J52" s="29">
        <v>2</v>
      </c>
      <c r="K52" s="30" t="s">
        <v>39</v>
      </c>
      <c r="L52" s="31" t="s">
        <v>411</v>
      </c>
      <c r="M52" s="32" t="s">
        <v>412</v>
      </c>
      <c r="N52" s="33" t="s">
        <v>69</v>
      </c>
      <c r="O52" s="33" t="s">
        <v>413</v>
      </c>
      <c r="P52" s="34" t="s">
        <v>414</v>
      </c>
      <c r="Q52" s="33" t="b">
        <v>0</v>
      </c>
      <c r="R52" s="33" t="s">
        <v>41</v>
      </c>
      <c r="S52" s="16" t="s">
        <v>42</v>
      </c>
      <c r="T52" s="34" t="s">
        <v>415</v>
      </c>
      <c r="U52" s="31" t="s">
        <v>67</v>
      </c>
      <c r="V52" s="27"/>
      <c r="W52" s="27"/>
      <c r="X52" s="34" t="s">
        <v>54</v>
      </c>
      <c r="Y52" s="36" t="str">
        <f ca="1">IFERROR(__xludf.DUMMYFUNCTION("VLOOKUP($G295, IMPORTRANGE(""https://docs.google.com/spreadsheets/d/1m0XUyo6H-YHIwm-JawEbLnxdQgU4gDApt1rpXCJkbqs/edit?gid=602588258#gid=602588258"", ""EQUIPOS!G4:523"") ,13,0)"),"#REF!")</f>
        <v>#REF!</v>
      </c>
      <c r="Z52" s="36" t="str">
        <f ca="1">IFERROR(__xludf.DUMMYFUNCTION("VLOOKUP($G295, IMPORTRANGE(""https://docs.google.com/spreadsheets/d/1m0XUyo6H-YHIwm-JawEbLnxdQgU4gDApt1rpXCJkbqs/edit?gid=602588258#gid=602588258"", ""EQUIPOS!G4:523"") ,14,0)"),"#REF!")</f>
        <v>#REF!</v>
      </c>
      <c r="AA52" s="36" t="str">
        <f ca="1">IFERROR(__xludf.DUMMYFUNCTION("VLOOKUP($G295, IMPORTRANGE(""https://docs.google.com/spreadsheets/d/1m0XUyo6H-YHIwm-JawEbLnxdQgU4gDApt1rpXCJkbqs/edit?gid=602588258#gid=602588258"", ""EQUIPOS!G4:523"") ,15,0)"),"#REF!")</f>
        <v>#REF!</v>
      </c>
      <c r="AB52" s="36" t="str">
        <f ca="1">IFERROR(__xludf.DUMMYFUNCTION("VLOOKUP($G295, IMPORTRANGE(""https://docs.google.com/spreadsheets/d/1m0XUyo6H-YHIwm-JawEbLnxdQgU4gDApt1rpXCJkbqs/edit?gid=602588258#gid=602588258"", ""EQUIPOS!G4:523"") ,16,0)"),"#REF!")</f>
        <v>#REF!</v>
      </c>
      <c r="AC52" s="7"/>
    </row>
    <row r="53" spans="1:29" ht="42" customHeight="1">
      <c r="A53" s="7"/>
      <c r="B53" s="26">
        <v>291</v>
      </c>
      <c r="C53" s="27" t="b">
        <v>1</v>
      </c>
      <c r="D53" s="70" t="s">
        <v>58</v>
      </c>
      <c r="E53" s="27" t="s">
        <v>270</v>
      </c>
      <c r="F53" s="27" t="s">
        <v>416</v>
      </c>
      <c r="G53" s="27" t="s">
        <v>416</v>
      </c>
      <c r="H53" s="28" t="s">
        <v>417</v>
      </c>
      <c r="I53" s="27" t="s">
        <v>22</v>
      </c>
      <c r="J53" s="29">
        <v>2</v>
      </c>
      <c r="K53" s="30" t="s">
        <v>39</v>
      </c>
      <c r="L53" s="31" t="s">
        <v>418</v>
      </c>
      <c r="M53" s="32" t="s">
        <v>40</v>
      </c>
      <c r="N53" s="33" t="s">
        <v>419</v>
      </c>
      <c r="O53" s="33" t="s">
        <v>420</v>
      </c>
      <c r="P53" s="34" t="s">
        <v>421</v>
      </c>
      <c r="Q53" s="33" t="b">
        <v>0</v>
      </c>
      <c r="R53" s="33" t="s">
        <v>41</v>
      </c>
      <c r="S53" s="16" t="s">
        <v>42</v>
      </c>
      <c r="T53" s="34" t="s">
        <v>422</v>
      </c>
      <c r="U53" s="31" t="s">
        <v>67</v>
      </c>
      <c r="V53" s="27"/>
      <c r="W53" s="27"/>
      <c r="X53" s="34" t="s">
        <v>54</v>
      </c>
      <c r="Y53" s="36" t="str">
        <f ca="1">IFERROR(__xludf.DUMMYFUNCTION("VLOOKUP($G296, IMPORTRANGE(""https://docs.google.com/spreadsheets/d/1m0XUyo6H-YHIwm-JawEbLnxdQgU4gDApt1rpXCJkbqs/edit?gid=602588258#gid=602588258"", ""EQUIPOS!G4:523"") ,13,0)"),"#REF!")</f>
        <v>#REF!</v>
      </c>
      <c r="Z53" s="36" t="str">
        <f ca="1">IFERROR(__xludf.DUMMYFUNCTION("VLOOKUP($G296, IMPORTRANGE(""https://docs.google.com/spreadsheets/d/1m0XUyo6H-YHIwm-JawEbLnxdQgU4gDApt1rpXCJkbqs/edit?gid=602588258#gid=602588258"", ""EQUIPOS!G4:523"") ,14,0)"),"#REF!")</f>
        <v>#REF!</v>
      </c>
      <c r="AA53" s="36" t="str">
        <f ca="1">IFERROR(__xludf.DUMMYFUNCTION("VLOOKUP($G296, IMPORTRANGE(""https://docs.google.com/spreadsheets/d/1m0XUyo6H-YHIwm-JawEbLnxdQgU4gDApt1rpXCJkbqs/edit?gid=602588258#gid=602588258"", ""EQUIPOS!G4:523"") ,15,0)"),"#REF!")</f>
        <v>#REF!</v>
      </c>
      <c r="AB53" s="36" t="str">
        <f ca="1">IFERROR(__xludf.DUMMYFUNCTION("VLOOKUP($G296, IMPORTRANGE(""https://docs.google.com/spreadsheets/d/1m0XUyo6H-YHIwm-JawEbLnxdQgU4gDApt1rpXCJkbqs/edit?gid=602588258#gid=602588258"", ""EQUIPOS!G4:523"") ,16,0)"),"#REF!")</f>
        <v>#REF!</v>
      </c>
      <c r="AC53" s="7"/>
    </row>
    <row r="54" spans="1:29" ht="42" customHeight="1">
      <c r="A54" s="7"/>
      <c r="B54" s="26">
        <v>292</v>
      </c>
      <c r="C54" s="27" t="b">
        <v>1</v>
      </c>
      <c r="D54" s="70" t="s">
        <v>58</v>
      </c>
      <c r="E54" s="27" t="s">
        <v>270</v>
      </c>
      <c r="F54" s="27" t="s">
        <v>423</v>
      </c>
      <c r="G54" s="27" t="s">
        <v>423</v>
      </c>
      <c r="H54" s="28" t="s">
        <v>424</v>
      </c>
      <c r="I54" s="27" t="s">
        <v>22</v>
      </c>
      <c r="J54" s="29">
        <v>2</v>
      </c>
      <c r="K54" s="30" t="s">
        <v>39</v>
      </c>
      <c r="L54" s="31" t="s">
        <v>425</v>
      </c>
      <c r="M54" s="32" t="s">
        <v>40</v>
      </c>
      <c r="N54" s="33" t="s">
        <v>426</v>
      </c>
      <c r="O54" s="33" t="s">
        <v>427</v>
      </c>
      <c r="P54" s="34" t="s">
        <v>428</v>
      </c>
      <c r="Q54" s="33" t="b">
        <v>0</v>
      </c>
      <c r="R54" s="33" t="s">
        <v>41</v>
      </c>
      <c r="S54" s="16" t="s">
        <v>42</v>
      </c>
      <c r="T54" s="34" t="s">
        <v>429</v>
      </c>
      <c r="U54" s="31" t="s">
        <v>67</v>
      </c>
      <c r="V54" s="27"/>
      <c r="W54" s="27"/>
      <c r="X54" s="34" t="s">
        <v>54</v>
      </c>
      <c r="Y54" s="36" t="str">
        <f ca="1">IFERROR(__xludf.DUMMYFUNCTION("VLOOKUP($G297, IMPORTRANGE(""https://docs.google.com/spreadsheets/d/1m0XUyo6H-YHIwm-JawEbLnxdQgU4gDApt1rpXCJkbqs/edit?gid=602588258#gid=602588258"", ""EQUIPOS!G4:523"") ,13,0)"),"#REF!")</f>
        <v>#REF!</v>
      </c>
      <c r="Z54" s="36" t="str">
        <f ca="1">IFERROR(__xludf.DUMMYFUNCTION("VLOOKUP($G297, IMPORTRANGE(""https://docs.google.com/spreadsheets/d/1m0XUyo6H-YHIwm-JawEbLnxdQgU4gDApt1rpXCJkbqs/edit?gid=602588258#gid=602588258"", ""EQUIPOS!G4:523"") ,14,0)"),"#REF!")</f>
        <v>#REF!</v>
      </c>
      <c r="AA54" s="36" t="str">
        <f ca="1">IFERROR(__xludf.DUMMYFUNCTION("VLOOKUP($G297, IMPORTRANGE(""https://docs.google.com/spreadsheets/d/1m0XUyo6H-YHIwm-JawEbLnxdQgU4gDApt1rpXCJkbqs/edit?gid=602588258#gid=602588258"", ""EQUIPOS!G4:523"") ,15,0)"),"#REF!")</f>
        <v>#REF!</v>
      </c>
      <c r="AB54" s="36" t="str">
        <f ca="1">IFERROR(__xludf.DUMMYFUNCTION("VLOOKUP($G297, IMPORTRANGE(""https://docs.google.com/spreadsheets/d/1m0XUyo6H-YHIwm-JawEbLnxdQgU4gDApt1rpXCJkbqs/edit?gid=602588258#gid=602588258"", ""EQUIPOS!G4:523"") ,16,0)"),"#REF!")</f>
        <v>#REF!</v>
      </c>
      <c r="AC54" s="7"/>
    </row>
    <row r="55" spans="1:29" ht="42" customHeight="1">
      <c r="A55" s="7"/>
      <c r="B55" s="26">
        <v>293</v>
      </c>
      <c r="C55" s="27" t="b">
        <v>1</v>
      </c>
      <c r="D55" s="70" t="s">
        <v>58</v>
      </c>
      <c r="E55" s="27" t="s">
        <v>270</v>
      </c>
      <c r="F55" s="27" t="s">
        <v>430</v>
      </c>
      <c r="G55" s="27" t="s">
        <v>430</v>
      </c>
      <c r="H55" s="28" t="s">
        <v>431</v>
      </c>
      <c r="I55" s="27" t="s">
        <v>22</v>
      </c>
      <c r="J55" s="29">
        <v>8</v>
      </c>
      <c r="K55" s="30" t="s">
        <v>39</v>
      </c>
      <c r="L55" s="31" t="s">
        <v>432</v>
      </c>
      <c r="M55" s="32" t="s">
        <v>40</v>
      </c>
      <c r="N55" s="33" t="s">
        <v>433</v>
      </c>
      <c r="O55" s="33">
        <v>2607010629</v>
      </c>
      <c r="P55" s="34" t="s">
        <v>434</v>
      </c>
      <c r="Q55" s="33" t="b">
        <v>0</v>
      </c>
      <c r="R55" s="33" t="s">
        <v>41</v>
      </c>
      <c r="S55" s="35" t="s">
        <v>42</v>
      </c>
      <c r="T55" s="34" t="s">
        <v>435</v>
      </c>
      <c r="U55" s="31" t="s">
        <v>67</v>
      </c>
      <c r="V55" s="45"/>
      <c r="W55" s="27"/>
      <c r="X55" s="34" t="s">
        <v>54</v>
      </c>
      <c r="Y55" s="36" t="str">
        <f ca="1">IFERROR(__xludf.DUMMYFUNCTION("VLOOKUP($G298, IMPORTRANGE(""https://docs.google.com/spreadsheets/d/1m0XUyo6H-YHIwm-JawEbLnxdQgU4gDApt1rpXCJkbqs/edit?gid=602588258#gid=602588258"", ""EQUIPOS!G4:523"") ,13,0)"),"#REF!")</f>
        <v>#REF!</v>
      </c>
      <c r="Z55" s="36" t="str">
        <f ca="1">IFERROR(__xludf.DUMMYFUNCTION("VLOOKUP($G298, IMPORTRANGE(""https://docs.google.com/spreadsheets/d/1m0XUyo6H-YHIwm-JawEbLnxdQgU4gDApt1rpXCJkbqs/edit?gid=602588258#gid=602588258"", ""EQUIPOS!G4:523"") ,14,0)"),"#REF!")</f>
        <v>#REF!</v>
      </c>
      <c r="AA55" s="36" t="str">
        <f ca="1">IFERROR(__xludf.DUMMYFUNCTION("VLOOKUP($G298, IMPORTRANGE(""https://docs.google.com/spreadsheets/d/1m0XUyo6H-YHIwm-JawEbLnxdQgU4gDApt1rpXCJkbqs/edit?gid=602588258#gid=602588258"", ""EQUIPOS!G4:523"") ,15,0)"),"#REF!")</f>
        <v>#REF!</v>
      </c>
      <c r="AB55" s="36" t="str">
        <f ca="1">IFERROR(__xludf.DUMMYFUNCTION("VLOOKUP($G298, IMPORTRANGE(""https://docs.google.com/spreadsheets/d/1m0XUyo6H-YHIwm-JawEbLnxdQgU4gDApt1rpXCJkbqs/edit?gid=602588258#gid=602588258"", ""EQUIPOS!G4:523"") ,16,0)"),"#REF!")</f>
        <v>#REF!</v>
      </c>
      <c r="AC55" s="7"/>
    </row>
    <row r="56" spans="1:29" ht="42" customHeight="1">
      <c r="A56" s="7"/>
      <c r="B56" s="26">
        <v>295</v>
      </c>
      <c r="C56" s="41" t="b">
        <v>1</v>
      </c>
      <c r="D56" s="71" t="s">
        <v>58</v>
      </c>
      <c r="E56" s="41" t="s">
        <v>270</v>
      </c>
      <c r="F56" s="41" t="s">
        <v>436</v>
      </c>
      <c r="G56" s="41" t="s">
        <v>174</v>
      </c>
      <c r="H56" s="50" t="s">
        <v>437</v>
      </c>
      <c r="I56" s="27" t="s">
        <v>22</v>
      </c>
      <c r="J56" s="29">
        <v>2</v>
      </c>
      <c r="K56" s="30" t="s">
        <v>47</v>
      </c>
      <c r="L56" s="31" t="s">
        <v>438</v>
      </c>
      <c r="M56" s="32" t="s">
        <v>40</v>
      </c>
      <c r="N56" s="33" t="s">
        <v>312</v>
      </c>
      <c r="O56" s="33" t="s">
        <v>439</v>
      </c>
      <c r="P56" s="34"/>
      <c r="Q56" s="33" t="b">
        <v>0</v>
      </c>
      <c r="R56" s="33" t="s">
        <v>41</v>
      </c>
      <c r="S56" s="27" t="s">
        <v>42</v>
      </c>
      <c r="T56" s="46" t="s">
        <v>440</v>
      </c>
      <c r="U56" s="31" t="s">
        <v>67</v>
      </c>
      <c r="V56" s="45"/>
      <c r="W56" s="27"/>
      <c r="X56" s="34" t="s">
        <v>46</v>
      </c>
      <c r="Y56" s="36" t="str">
        <f ca="1">IFERROR(__xludf.DUMMYFUNCTION("VLOOKUP($G300, IMPORTRANGE(""https://docs.google.com/spreadsheets/d/1m0XUyo6H-YHIwm-JawEbLnxdQgU4gDApt1rpXCJkbqs/edit?gid=602588258#gid=602588258"", ""EQUIPOS!G4:523"") ,13,0)"),"#REF!")</f>
        <v>#REF!</v>
      </c>
      <c r="Z56" s="36" t="str">
        <f ca="1">IFERROR(__xludf.DUMMYFUNCTION("VLOOKUP($G300, IMPORTRANGE(""https://docs.google.com/spreadsheets/d/1m0XUyo6H-YHIwm-JawEbLnxdQgU4gDApt1rpXCJkbqs/edit?gid=602588258#gid=602588258"", ""EQUIPOS!G4:523"") ,14,0)"),"#REF!")</f>
        <v>#REF!</v>
      </c>
      <c r="AA56" s="36" t="str">
        <f ca="1">IFERROR(__xludf.DUMMYFUNCTION("VLOOKUP($G300, IMPORTRANGE(""https://docs.google.com/spreadsheets/d/1m0XUyo6H-YHIwm-JawEbLnxdQgU4gDApt1rpXCJkbqs/edit?gid=602588258#gid=602588258"", ""EQUIPOS!G4:523"") ,15,0)"),"#REF!")</f>
        <v>#REF!</v>
      </c>
      <c r="AB56" s="36" t="str">
        <f ca="1">IFERROR(__xludf.DUMMYFUNCTION("VLOOKUP($G300, IMPORTRANGE(""https://docs.google.com/spreadsheets/d/1m0XUyo6H-YHIwm-JawEbLnxdQgU4gDApt1rpXCJkbqs/edit?gid=602588258#gid=602588258"", ""EQUIPOS!G4:523"") ,16,0)"),"#REF!")</f>
        <v>#REF!</v>
      </c>
      <c r="AC56" s="7"/>
    </row>
    <row r="57" spans="1:29" ht="42" customHeight="1">
      <c r="A57" s="7"/>
      <c r="B57" s="26">
        <v>297</v>
      </c>
      <c r="C57" s="27" t="b">
        <v>1</v>
      </c>
      <c r="D57" s="70" t="s">
        <v>58</v>
      </c>
      <c r="E57" s="27" t="s">
        <v>270</v>
      </c>
      <c r="F57" s="27" t="s">
        <v>441</v>
      </c>
      <c r="G57" s="27" t="s">
        <v>441</v>
      </c>
      <c r="H57" s="28" t="s">
        <v>442</v>
      </c>
      <c r="I57" s="27" t="s">
        <v>22</v>
      </c>
      <c r="J57" s="29">
        <v>8</v>
      </c>
      <c r="K57" s="30" t="s">
        <v>39</v>
      </c>
      <c r="L57" s="31" t="s">
        <v>443</v>
      </c>
      <c r="M57" s="32" t="s">
        <v>40</v>
      </c>
      <c r="N57" s="33" t="s">
        <v>48</v>
      </c>
      <c r="O57" s="33">
        <v>2608522129</v>
      </c>
      <c r="P57" s="47" t="s">
        <v>444</v>
      </c>
      <c r="Q57" s="33" t="b">
        <v>0</v>
      </c>
      <c r="R57" s="33" t="s">
        <v>41</v>
      </c>
      <c r="S57" s="16" t="s">
        <v>42</v>
      </c>
      <c r="T57" s="34" t="s">
        <v>445</v>
      </c>
      <c r="U57" s="31" t="s">
        <v>67</v>
      </c>
      <c r="V57" s="27"/>
      <c r="W57" s="27"/>
      <c r="X57" s="34" t="s">
        <v>54</v>
      </c>
      <c r="Y57" s="36" t="str">
        <f ca="1">IFERROR(__xludf.DUMMYFUNCTION("VLOOKUP($G302, IMPORTRANGE(""https://docs.google.com/spreadsheets/d/1m0XUyo6H-YHIwm-JawEbLnxdQgU4gDApt1rpXCJkbqs/edit?gid=602588258#gid=602588258"", ""EQUIPOS!G4:523"") ,13,0)"),"#REF!")</f>
        <v>#REF!</v>
      </c>
      <c r="Z57" s="36" t="str">
        <f ca="1">IFERROR(__xludf.DUMMYFUNCTION("VLOOKUP($G302, IMPORTRANGE(""https://docs.google.com/spreadsheets/d/1m0XUyo6H-YHIwm-JawEbLnxdQgU4gDApt1rpXCJkbqs/edit?gid=602588258#gid=602588258"", ""EQUIPOS!G4:523"") ,14,0)"),"#REF!")</f>
        <v>#REF!</v>
      </c>
      <c r="AA57" s="36" t="str">
        <f ca="1">IFERROR(__xludf.DUMMYFUNCTION("VLOOKUP($G302, IMPORTRANGE(""https://docs.google.com/spreadsheets/d/1m0XUyo6H-YHIwm-JawEbLnxdQgU4gDApt1rpXCJkbqs/edit?gid=602588258#gid=602588258"", ""EQUIPOS!G4:523"") ,15,0)"),"#REF!")</f>
        <v>#REF!</v>
      </c>
      <c r="AB57" s="36" t="str">
        <f ca="1">IFERROR(__xludf.DUMMYFUNCTION("VLOOKUP($G302, IMPORTRANGE(""https://docs.google.com/spreadsheets/d/1m0XUyo6H-YHIwm-JawEbLnxdQgU4gDApt1rpXCJkbqs/edit?gid=602588258#gid=602588258"", ""EQUIPOS!G4:523"") ,16,0)"),"#REF!")</f>
        <v>#REF!</v>
      </c>
      <c r="AC57" s="7"/>
    </row>
    <row r="58" spans="1:29" ht="42" customHeight="1">
      <c r="A58" s="7"/>
      <c r="B58" s="26">
        <v>301</v>
      </c>
      <c r="C58" s="27" t="b">
        <v>1</v>
      </c>
      <c r="D58" s="70" t="s">
        <v>58</v>
      </c>
      <c r="E58" s="27" t="s">
        <v>270</v>
      </c>
      <c r="F58" s="27" t="s">
        <v>446</v>
      </c>
      <c r="G58" s="27" t="s">
        <v>446</v>
      </c>
      <c r="H58" s="28" t="s">
        <v>447</v>
      </c>
      <c r="I58" s="27" t="s">
        <v>22</v>
      </c>
      <c r="J58" s="29">
        <v>8</v>
      </c>
      <c r="K58" s="30" t="s">
        <v>39</v>
      </c>
      <c r="L58" s="31" t="s">
        <v>448</v>
      </c>
      <c r="M58" s="32" t="s">
        <v>449</v>
      </c>
      <c r="N58" s="33" t="s">
        <v>69</v>
      </c>
      <c r="O58" s="33">
        <v>11853</v>
      </c>
      <c r="P58" s="34" t="s">
        <v>450</v>
      </c>
      <c r="Q58" s="33" t="b">
        <v>0</v>
      </c>
      <c r="R58" s="33" t="s">
        <v>41</v>
      </c>
      <c r="S58" s="35" t="s">
        <v>42</v>
      </c>
      <c r="T58" s="34" t="s">
        <v>451</v>
      </c>
      <c r="U58" s="31" t="s">
        <v>67</v>
      </c>
      <c r="V58" s="45"/>
      <c r="W58" s="27"/>
      <c r="X58" s="34" t="s">
        <v>452</v>
      </c>
      <c r="Y58" s="36" t="str">
        <f ca="1">IFERROR(__xludf.DUMMYFUNCTION("VLOOKUP($G306, IMPORTRANGE(""https://docs.google.com/spreadsheets/d/1m0XUyo6H-YHIwm-JawEbLnxdQgU4gDApt1rpXCJkbqs/edit?gid=602588258#gid=602588258"", ""EQUIPOS!G4:523"") ,13,0)"),"#REF!")</f>
        <v>#REF!</v>
      </c>
      <c r="Z58" s="36" t="str">
        <f ca="1">IFERROR(__xludf.DUMMYFUNCTION("VLOOKUP($G306, IMPORTRANGE(""https://docs.google.com/spreadsheets/d/1m0XUyo6H-YHIwm-JawEbLnxdQgU4gDApt1rpXCJkbqs/edit?gid=602588258#gid=602588258"", ""EQUIPOS!G4:523"") ,14,0)"),"#REF!")</f>
        <v>#REF!</v>
      </c>
      <c r="AA58" s="36" t="str">
        <f ca="1">IFERROR(__xludf.DUMMYFUNCTION("VLOOKUP($G306, IMPORTRANGE(""https://docs.google.com/spreadsheets/d/1m0XUyo6H-YHIwm-JawEbLnxdQgU4gDApt1rpXCJkbqs/edit?gid=602588258#gid=602588258"", ""EQUIPOS!G4:523"") ,15,0)"),"#REF!")</f>
        <v>#REF!</v>
      </c>
      <c r="AB58" s="36" t="str">
        <f ca="1">IFERROR(__xludf.DUMMYFUNCTION("VLOOKUP($G306, IMPORTRANGE(""https://docs.google.com/spreadsheets/d/1m0XUyo6H-YHIwm-JawEbLnxdQgU4gDApt1rpXCJkbqs/edit?gid=602588258#gid=602588258"", ""EQUIPOS!G4:523"") ,16,0)"),"#REF!")</f>
        <v>#REF!</v>
      </c>
      <c r="AC58" s="7"/>
    </row>
    <row r="59" spans="1:29" ht="42" customHeight="1">
      <c r="A59" s="7"/>
      <c r="B59" s="26">
        <v>307</v>
      </c>
      <c r="C59" s="27" t="b">
        <v>1</v>
      </c>
      <c r="D59" s="70" t="s">
        <v>58</v>
      </c>
      <c r="E59" s="27" t="s">
        <v>270</v>
      </c>
      <c r="F59" s="27" t="s">
        <v>453</v>
      </c>
      <c r="G59" s="27" t="s">
        <v>453</v>
      </c>
      <c r="H59" s="28" t="s">
        <v>454</v>
      </c>
      <c r="I59" s="27" t="s">
        <v>22</v>
      </c>
      <c r="J59" s="29">
        <v>2</v>
      </c>
      <c r="K59" s="30" t="s">
        <v>39</v>
      </c>
      <c r="L59" s="31" t="s">
        <v>455</v>
      </c>
      <c r="M59" s="32" t="s">
        <v>456</v>
      </c>
      <c r="N59" s="33" t="s">
        <v>457</v>
      </c>
      <c r="O59" s="33" t="s">
        <v>458</v>
      </c>
      <c r="P59" s="34" t="s">
        <v>459</v>
      </c>
      <c r="Q59" s="33" t="b">
        <v>0</v>
      </c>
      <c r="R59" s="33" t="s">
        <v>41</v>
      </c>
      <c r="S59" s="16" t="s">
        <v>42</v>
      </c>
      <c r="T59" s="34" t="s">
        <v>460</v>
      </c>
      <c r="U59" s="31" t="s">
        <v>67</v>
      </c>
      <c r="V59" s="27"/>
      <c r="W59" s="27"/>
      <c r="X59" s="34" t="s">
        <v>57</v>
      </c>
      <c r="Y59" s="36" t="str">
        <f ca="1">IFERROR(__xludf.DUMMYFUNCTION("VLOOKUP($G312, IMPORTRANGE(""https://docs.google.com/spreadsheets/d/1m0XUyo6H-YHIwm-JawEbLnxdQgU4gDApt1rpXCJkbqs/edit?gid=602588258#gid=602588258"", ""EQUIPOS!G4:523"") ,13,0)"),"#REF!")</f>
        <v>#REF!</v>
      </c>
      <c r="Z59" s="36" t="str">
        <f ca="1">IFERROR(__xludf.DUMMYFUNCTION("VLOOKUP($G312, IMPORTRANGE(""https://docs.google.com/spreadsheets/d/1m0XUyo6H-YHIwm-JawEbLnxdQgU4gDApt1rpXCJkbqs/edit?gid=602588258#gid=602588258"", ""EQUIPOS!G4:523"") ,14,0)"),"#REF!")</f>
        <v>#REF!</v>
      </c>
      <c r="AA59" s="36" t="str">
        <f ca="1">IFERROR(__xludf.DUMMYFUNCTION("VLOOKUP($G312, IMPORTRANGE(""https://docs.google.com/spreadsheets/d/1m0XUyo6H-YHIwm-JawEbLnxdQgU4gDApt1rpXCJkbqs/edit?gid=602588258#gid=602588258"", ""EQUIPOS!G4:523"") ,15,0)"),"#REF!")</f>
        <v>#REF!</v>
      </c>
      <c r="AB59" s="36" t="str">
        <f ca="1">IFERROR(__xludf.DUMMYFUNCTION("VLOOKUP($G312, IMPORTRANGE(""https://docs.google.com/spreadsheets/d/1m0XUyo6H-YHIwm-JawEbLnxdQgU4gDApt1rpXCJkbqs/edit?gid=602588258#gid=602588258"", ""EQUIPOS!G4:523"") ,16,0)"),"#REF!")</f>
        <v>#REF!</v>
      </c>
      <c r="AC59" s="40"/>
    </row>
    <row r="60" spans="1:29" ht="42" customHeight="1">
      <c r="A60" s="7"/>
      <c r="B60" s="26">
        <v>317</v>
      </c>
      <c r="C60" s="41" t="b">
        <v>0</v>
      </c>
      <c r="D60" s="70" t="s">
        <v>58</v>
      </c>
      <c r="E60" s="27" t="s">
        <v>270</v>
      </c>
      <c r="F60" s="27" t="s">
        <v>461</v>
      </c>
      <c r="G60" s="27" t="s">
        <v>461</v>
      </c>
      <c r="H60" s="28" t="s">
        <v>462</v>
      </c>
      <c r="I60" s="27" t="s">
        <v>22</v>
      </c>
      <c r="J60" s="29">
        <v>8</v>
      </c>
      <c r="K60" s="30" t="s">
        <v>39</v>
      </c>
      <c r="L60" s="31" t="s">
        <v>463</v>
      </c>
      <c r="M60" s="32" t="s">
        <v>464</v>
      </c>
      <c r="N60" s="33"/>
      <c r="O60" s="33"/>
      <c r="P60" s="34"/>
      <c r="Q60" s="33" t="b">
        <v>0</v>
      </c>
      <c r="R60" s="33" t="s">
        <v>41</v>
      </c>
      <c r="S60" s="27"/>
      <c r="T60" s="56"/>
      <c r="U60" s="31" t="s">
        <v>67</v>
      </c>
      <c r="V60" s="27"/>
      <c r="W60" s="27"/>
      <c r="X60" s="34" t="s">
        <v>46</v>
      </c>
      <c r="Y60" s="36" t="str">
        <f ca="1">IFERROR(__xludf.DUMMYFUNCTION("VLOOKUP($G322, IMPORTRANGE(""https://docs.google.com/spreadsheets/d/1m0XUyo6H-YHIwm-JawEbLnxdQgU4gDApt1rpXCJkbqs/edit?gid=602588258#gid=602588258"", ""EQUIPOS!G4:523"") ,13,0)"),"#REF!")</f>
        <v>#REF!</v>
      </c>
      <c r="Z60" s="36" t="str">
        <f ca="1">IFERROR(__xludf.DUMMYFUNCTION("VLOOKUP($G322, IMPORTRANGE(""https://docs.google.com/spreadsheets/d/1m0XUyo6H-YHIwm-JawEbLnxdQgU4gDApt1rpXCJkbqs/edit?gid=602588258#gid=602588258"", ""EQUIPOS!G4:523"") ,14,0)"),"#REF!")</f>
        <v>#REF!</v>
      </c>
      <c r="AA60" s="36" t="str">
        <f ca="1">IFERROR(__xludf.DUMMYFUNCTION("VLOOKUP($G322, IMPORTRANGE(""https://docs.google.com/spreadsheets/d/1m0XUyo6H-YHIwm-JawEbLnxdQgU4gDApt1rpXCJkbqs/edit?gid=602588258#gid=602588258"", ""EQUIPOS!G4:523"") ,15,0)"),"#REF!")</f>
        <v>#REF!</v>
      </c>
      <c r="AB60" s="36" t="str">
        <f ca="1">IFERROR(__xludf.DUMMYFUNCTION("VLOOKUP($G322, IMPORTRANGE(""https://docs.google.com/spreadsheets/d/1m0XUyo6H-YHIwm-JawEbLnxdQgU4gDApt1rpXCJkbqs/edit?gid=602588258#gid=602588258"", ""EQUIPOS!G4:523"") ,16,0)"),"#REF!")</f>
        <v>#REF!</v>
      </c>
      <c r="AC60" s="7"/>
    </row>
    <row r="61" spans="1:29" ht="42" customHeight="1">
      <c r="A61" s="7"/>
      <c r="B61" s="26">
        <v>318</v>
      </c>
      <c r="C61" s="41" t="b">
        <v>0</v>
      </c>
      <c r="D61" s="70" t="s">
        <v>58</v>
      </c>
      <c r="E61" s="27" t="s">
        <v>270</v>
      </c>
      <c r="F61" s="27" t="s">
        <v>465</v>
      </c>
      <c r="G61" s="27" t="s">
        <v>465</v>
      </c>
      <c r="H61" s="28" t="s">
        <v>466</v>
      </c>
      <c r="I61" s="27" t="s">
        <v>22</v>
      </c>
      <c r="J61" s="29">
        <v>8</v>
      </c>
      <c r="K61" s="30" t="s">
        <v>39</v>
      </c>
      <c r="L61" s="31" t="s">
        <v>467</v>
      </c>
      <c r="M61" s="32"/>
      <c r="N61" s="33"/>
      <c r="O61" s="33"/>
      <c r="P61" s="34"/>
      <c r="Q61" s="33" t="b">
        <v>0</v>
      </c>
      <c r="R61" s="33" t="s">
        <v>41</v>
      </c>
      <c r="S61" s="27"/>
      <c r="T61" s="34"/>
      <c r="U61" s="31" t="s">
        <v>67</v>
      </c>
      <c r="V61" s="27"/>
      <c r="W61" s="27"/>
      <c r="X61" s="34" t="s">
        <v>46</v>
      </c>
      <c r="Y61" s="36" t="str">
        <f ca="1">IFERROR(__xludf.DUMMYFUNCTION("VLOOKUP($G323, IMPORTRANGE(""https://docs.google.com/spreadsheets/d/1m0XUyo6H-YHIwm-JawEbLnxdQgU4gDApt1rpXCJkbqs/edit?gid=602588258#gid=602588258"", ""HERRAMIENTAS!G4:523"") ,13,0)"),"#REF!")</f>
        <v>#REF!</v>
      </c>
      <c r="Z61" s="36" t="str">
        <f ca="1">IFERROR(__xludf.DUMMYFUNCTION("VLOOKUP($G323, IMPORTRANGE(""https://docs.google.com/spreadsheets/d/1m0XUyo6H-YHIwm-JawEbLnxdQgU4gDApt1rpXCJkbqs/edit?gid=602588258#gid=602588258"", ""HERRAMIENTAS!G4:523"") ,14,0)"),"#REF!")</f>
        <v>#REF!</v>
      </c>
      <c r="AA61" s="36" t="str">
        <f ca="1">IFERROR(__xludf.DUMMYFUNCTION("VLOOKUP($G323, IMPORTRANGE(""https://docs.google.com/spreadsheets/d/1m0XUyo6H-YHIwm-JawEbLnxdQgU4gDApt1rpXCJkbqs/edit?gid=602588258#gid=602588258"", ""HERRAMIENTAS!G4:523"") ,15,0)"),"#REF!")</f>
        <v>#REF!</v>
      </c>
      <c r="AB61" s="36" t="str">
        <f ca="1">IFERROR(__xludf.DUMMYFUNCTION("VLOOKUP($G323, IMPORTRANGE(""https://docs.google.com/spreadsheets/d/1m0XUyo6H-YHIwm-JawEbLnxdQgU4gDApt1rpXCJkbqs/edit?gid=602588258#gid=602588258"", ""HERRAMIENTAS!G4:523"") ,16,0)"),"#REF!")</f>
        <v>#REF!</v>
      </c>
      <c r="AC61" s="7"/>
    </row>
    <row r="62" spans="1:29" ht="42" customHeight="1">
      <c r="A62" s="7"/>
      <c r="B62" s="26">
        <v>319</v>
      </c>
      <c r="C62" s="27" t="b">
        <v>1</v>
      </c>
      <c r="D62" s="70" t="s">
        <v>58</v>
      </c>
      <c r="E62" s="27" t="s">
        <v>270</v>
      </c>
      <c r="F62" s="27" t="s">
        <v>468</v>
      </c>
      <c r="G62" s="27" t="s">
        <v>468</v>
      </c>
      <c r="H62" s="28" t="s">
        <v>469</v>
      </c>
      <c r="I62" s="27" t="s">
        <v>22</v>
      </c>
      <c r="J62" s="29">
        <v>8</v>
      </c>
      <c r="K62" s="30" t="s">
        <v>39</v>
      </c>
      <c r="L62" s="31" t="s">
        <v>470</v>
      </c>
      <c r="M62" s="32" t="s">
        <v>471</v>
      </c>
      <c r="N62" s="33" t="s">
        <v>472</v>
      </c>
      <c r="O62" s="33"/>
      <c r="P62" s="34"/>
      <c r="Q62" s="33" t="b">
        <v>0</v>
      </c>
      <c r="R62" s="33" t="s">
        <v>41</v>
      </c>
      <c r="S62" s="16" t="s">
        <v>42</v>
      </c>
      <c r="T62" s="59" t="s">
        <v>473</v>
      </c>
      <c r="U62" s="31" t="s">
        <v>67</v>
      </c>
      <c r="V62" s="27"/>
      <c r="W62" s="27"/>
      <c r="X62" s="34" t="s">
        <v>46</v>
      </c>
      <c r="Y62" s="36" t="str">
        <f ca="1">IFERROR(__xludf.DUMMYFUNCTION("VLOOKUP($G324, IMPORTRANGE(""https://docs.google.com/spreadsheets/d/1m0XUyo6H-YHIwm-JawEbLnxdQgU4gDApt1rpXCJkbqs/edit?gid=602588258#gid=602588258"", ""EQUIPOS!G4:523"") ,13,0)"),"#REF!")</f>
        <v>#REF!</v>
      </c>
      <c r="Z62" s="36" t="str">
        <f ca="1">IFERROR(__xludf.DUMMYFUNCTION("VLOOKUP($G324, IMPORTRANGE(""https://docs.google.com/spreadsheets/d/1m0XUyo6H-YHIwm-JawEbLnxdQgU4gDApt1rpXCJkbqs/edit?gid=602588258#gid=602588258"", ""EQUIPOS!G4:523"") ,14,0)"),"#REF!")</f>
        <v>#REF!</v>
      </c>
      <c r="AA62" s="36" t="str">
        <f ca="1">IFERROR(__xludf.DUMMYFUNCTION("VLOOKUP($G324, IMPORTRANGE(""https://docs.google.com/spreadsheets/d/1m0XUyo6H-YHIwm-JawEbLnxdQgU4gDApt1rpXCJkbqs/edit?gid=602588258#gid=602588258"", ""EQUIPOS!G4:523"") ,15,0)"),"#REF!")</f>
        <v>#REF!</v>
      </c>
      <c r="AB62" s="36" t="str">
        <f ca="1">IFERROR(__xludf.DUMMYFUNCTION("VLOOKUP($G324, IMPORTRANGE(""https://docs.google.com/spreadsheets/d/1m0XUyo6H-YHIwm-JawEbLnxdQgU4gDApt1rpXCJkbqs/edit?gid=602588258#gid=602588258"", ""EQUIPOS!G4:523"") ,16,0)"),"#REF!")</f>
        <v>#REF!</v>
      </c>
      <c r="AC62" s="7"/>
    </row>
    <row r="63" spans="1:29" ht="42" customHeight="1">
      <c r="A63" s="7"/>
      <c r="B63" s="26">
        <v>321</v>
      </c>
      <c r="C63" s="27" t="b">
        <v>1</v>
      </c>
      <c r="D63" s="70" t="s">
        <v>58</v>
      </c>
      <c r="E63" s="27" t="s">
        <v>270</v>
      </c>
      <c r="F63" s="27" t="s">
        <v>474</v>
      </c>
      <c r="G63" s="27" t="s">
        <v>474</v>
      </c>
      <c r="H63" s="28" t="s">
        <v>475</v>
      </c>
      <c r="I63" s="27" t="s">
        <v>22</v>
      </c>
      <c r="J63" s="29">
        <v>8</v>
      </c>
      <c r="K63" s="30" t="s">
        <v>39</v>
      </c>
      <c r="L63" s="31" t="s">
        <v>476</v>
      </c>
      <c r="M63" s="32" t="s">
        <v>40</v>
      </c>
      <c r="N63" s="33" t="s">
        <v>48</v>
      </c>
      <c r="O63" s="33" t="s">
        <v>366</v>
      </c>
      <c r="P63" s="34" t="s">
        <v>477</v>
      </c>
      <c r="Q63" s="33" t="b">
        <v>0</v>
      </c>
      <c r="R63" s="33" t="s">
        <v>41</v>
      </c>
      <c r="S63" s="60" t="s">
        <v>42</v>
      </c>
      <c r="T63" s="34" t="s">
        <v>478</v>
      </c>
      <c r="U63" s="31" t="s">
        <v>67</v>
      </c>
      <c r="V63" s="27"/>
      <c r="W63" s="27"/>
      <c r="X63" s="34" t="s">
        <v>57</v>
      </c>
      <c r="Y63" s="36" t="str">
        <f ca="1">IFERROR(__xludf.DUMMYFUNCTION("VLOOKUP($G326, IMPORTRANGE(""https://docs.google.com/spreadsheets/d/1m0XUyo6H-YHIwm-JawEbLnxdQgU4gDApt1rpXCJkbqs/edit?gid=602588258#gid=602588258"", ""EQUIPOS!G4:523"") ,13,0)"),"#REF!")</f>
        <v>#REF!</v>
      </c>
      <c r="Z63" s="36" t="str">
        <f ca="1">IFERROR(__xludf.DUMMYFUNCTION("VLOOKUP($G326, IMPORTRANGE(""https://docs.google.com/spreadsheets/d/1m0XUyo6H-YHIwm-JawEbLnxdQgU4gDApt1rpXCJkbqs/edit?gid=602588258#gid=602588258"", ""EQUIPOS!G4:523"") ,14,0)"),"#REF!")</f>
        <v>#REF!</v>
      </c>
      <c r="AA63" s="36" t="str">
        <f ca="1">IFERROR(__xludf.DUMMYFUNCTION("VLOOKUP($G326, IMPORTRANGE(""https://docs.google.com/spreadsheets/d/1m0XUyo6H-YHIwm-JawEbLnxdQgU4gDApt1rpXCJkbqs/edit?gid=602588258#gid=602588258"", ""EQUIPOS!G4:523"") ,15,0)"),"#REF!")</f>
        <v>#REF!</v>
      </c>
      <c r="AB63" s="36" t="str">
        <f ca="1">IFERROR(__xludf.DUMMYFUNCTION("VLOOKUP($G326, IMPORTRANGE(""https://docs.google.com/spreadsheets/d/1m0XUyo6H-YHIwm-JawEbLnxdQgU4gDApt1rpXCJkbqs/edit?gid=602588258#gid=602588258"", ""EQUIPOS!G4:523"") ,16,0)"),"#REF!")</f>
        <v>#REF!</v>
      </c>
      <c r="AC63" s="40"/>
    </row>
    <row r="64" spans="1:29" ht="42" customHeight="1">
      <c r="A64" s="7"/>
      <c r="B64" s="26">
        <v>327</v>
      </c>
      <c r="C64" s="27" t="b">
        <v>1</v>
      </c>
      <c r="D64" s="70" t="s">
        <v>58</v>
      </c>
      <c r="E64" s="27" t="s">
        <v>270</v>
      </c>
      <c r="F64" s="27" t="s">
        <v>479</v>
      </c>
      <c r="G64" s="27" t="s">
        <v>479</v>
      </c>
      <c r="H64" s="28" t="s">
        <v>480</v>
      </c>
      <c r="I64" s="27" t="s">
        <v>22</v>
      </c>
      <c r="J64" s="29">
        <v>4</v>
      </c>
      <c r="K64" s="30" t="s">
        <v>39</v>
      </c>
      <c r="L64" s="31" t="s">
        <v>481</v>
      </c>
      <c r="M64" s="32" t="s">
        <v>40</v>
      </c>
      <c r="N64" s="33" t="s">
        <v>482</v>
      </c>
      <c r="O64" s="33" t="s">
        <v>483</v>
      </c>
      <c r="P64" s="54" t="s">
        <v>484</v>
      </c>
      <c r="Q64" s="33" t="b">
        <v>0</v>
      </c>
      <c r="R64" s="33" t="s">
        <v>41</v>
      </c>
      <c r="S64" s="35" t="s">
        <v>42</v>
      </c>
      <c r="T64" s="34" t="s">
        <v>485</v>
      </c>
      <c r="U64" s="31" t="s">
        <v>67</v>
      </c>
      <c r="V64" s="27"/>
      <c r="W64" s="27"/>
      <c r="X64" s="34" t="s">
        <v>452</v>
      </c>
      <c r="Y64" s="36" t="str">
        <f ca="1">IFERROR(__xludf.DUMMYFUNCTION("VLOOKUP($G332, IMPORTRANGE(""https://docs.google.com/spreadsheets/d/1m0XUyo6H-YHIwm-JawEbLnxdQgU4gDApt1rpXCJkbqs/edit?gid=602588258#gid=602588258"", ""EQUIPOS!G4:523"") ,13,0)"),"#REF!")</f>
        <v>#REF!</v>
      </c>
      <c r="Z64" s="36" t="str">
        <f ca="1">IFERROR(__xludf.DUMMYFUNCTION("VLOOKUP($G332, IMPORTRANGE(""https://docs.google.com/spreadsheets/d/1m0XUyo6H-YHIwm-JawEbLnxdQgU4gDApt1rpXCJkbqs/edit?gid=602588258#gid=602588258"", ""EQUIPOS!G4:523"") ,14,0)"),"#REF!")</f>
        <v>#REF!</v>
      </c>
      <c r="AA64" s="36" t="str">
        <f ca="1">IFERROR(__xludf.DUMMYFUNCTION("VLOOKUP($G332, IMPORTRANGE(""https://docs.google.com/spreadsheets/d/1m0XUyo6H-YHIwm-JawEbLnxdQgU4gDApt1rpXCJkbqs/edit?gid=602588258#gid=602588258"", ""EQUIPOS!G4:523"") ,15,0)"),"#REF!")</f>
        <v>#REF!</v>
      </c>
      <c r="AB64" s="36" t="str">
        <f ca="1">IFERROR(__xludf.DUMMYFUNCTION("VLOOKUP($G332, IMPORTRANGE(""https://docs.google.com/spreadsheets/d/1m0XUyo6H-YHIwm-JawEbLnxdQgU4gDApt1rpXCJkbqs/edit?gid=602588258#gid=602588258"", ""EQUIPOS!G4:523"") ,16,0)"),"#REF!")</f>
        <v>#REF!</v>
      </c>
      <c r="AC64" s="7"/>
    </row>
    <row r="65" spans="1:29" ht="42" customHeight="1">
      <c r="A65" s="7"/>
      <c r="B65" s="26">
        <v>330</v>
      </c>
      <c r="C65" s="27" t="b">
        <v>1</v>
      </c>
      <c r="D65" s="70" t="s">
        <v>58</v>
      </c>
      <c r="E65" s="27" t="s">
        <v>270</v>
      </c>
      <c r="F65" s="27" t="s">
        <v>486</v>
      </c>
      <c r="G65" s="27" t="s">
        <v>486</v>
      </c>
      <c r="H65" s="28" t="s">
        <v>487</v>
      </c>
      <c r="I65" s="27" t="s">
        <v>22</v>
      </c>
      <c r="J65" s="29">
        <v>32</v>
      </c>
      <c r="K65" s="30" t="s">
        <v>39</v>
      </c>
      <c r="L65" s="31" t="s">
        <v>488</v>
      </c>
      <c r="M65" s="32" t="s">
        <v>40</v>
      </c>
      <c r="N65" s="33" t="s">
        <v>69</v>
      </c>
      <c r="O65" s="33">
        <v>17690</v>
      </c>
      <c r="P65" s="34" t="s">
        <v>489</v>
      </c>
      <c r="Q65" s="33" t="b">
        <v>0</v>
      </c>
      <c r="R65" s="33" t="s">
        <v>41</v>
      </c>
      <c r="S65" s="16" t="s">
        <v>42</v>
      </c>
      <c r="T65" s="34" t="s">
        <v>490</v>
      </c>
      <c r="U65" s="31" t="s">
        <v>67</v>
      </c>
      <c r="V65" s="45"/>
      <c r="W65" s="27"/>
      <c r="X65" s="34" t="s">
        <v>452</v>
      </c>
      <c r="Y65" s="36" t="str">
        <f ca="1">IFERROR(__xludf.DUMMYFUNCTION("VLOOKUP($G335, IMPORTRANGE(""https://docs.google.com/spreadsheets/d/1m0XUyo6H-YHIwm-JawEbLnxdQgU4gDApt1rpXCJkbqs/edit?gid=602588258#gid=602588258"", ""EQUIPOS!G4:523"") ,13,0)"),"#REF!")</f>
        <v>#REF!</v>
      </c>
      <c r="Z65" s="36" t="str">
        <f ca="1">IFERROR(__xludf.DUMMYFUNCTION("VLOOKUP($G335, IMPORTRANGE(""https://docs.google.com/spreadsheets/d/1m0XUyo6H-YHIwm-JawEbLnxdQgU4gDApt1rpXCJkbqs/edit?gid=602588258#gid=602588258"", ""EQUIPOS!G4:523"") ,14,0)"),"#REF!")</f>
        <v>#REF!</v>
      </c>
      <c r="AA65" s="36" t="str">
        <f ca="1">IFERROR(__xludf.DUMMYFUNCTION("VLOOKUP($G335, IMPORTRANGE(""https://docs.google.com/spreadsheets/d/1m0XUyo6H-YHIwm-JawEbLnxdQgU4gDApt1rpXCJkbqs/edit?gid=602588258#gid=602588258"", ""EQUIPOS!G4:523"") ,15,0)"),"#REF!")</f>
        <v>#REF!</v>
      </c>
      <c r="AB65" s="36" t="str">
        <f ca="1">IFERROR(__xludf.DUMMYFUNCTION("VLOOKUP($G335, IMPORTRANGE(""https://docs.google.com/spreadsheets/d/1m0XUyo6H-YHIwm-JawEbLnxdQgU4gDApt1rpXCJkbqs/edit?gid=602588258#gid=602588258"", ""EQUIPOS!G4:523"") ,16,0)"),"#REF!")</f>
        <v>#REF!</v>
      </c>
      <c r="AC65" s="7"/>
    </row>
    <row r="66" spans="1:29" ht="42" customHeight="1">
      <c r="A66" s="7"/>
      <c r="B66" s="26">
        <v>357</v>
      </c>
      <c r="C66" s="27" t="b">
        <v>1</v>
      </c>
      <c r="D66" s="70" t="s">
        <v>58</v>
      </c>
      <c r="E66" s="27" t="s">
        <v>270</v>
      </c>
      <c r="F66" s="27" t="s">
        <v>491</v>
      </c>
      <c r="G66" s="27" t="s">
        <v>491</v>
      </c>
      <c r="H66" s="28" t="s">
        <v>492</v>
      </c>
      <c r="I66" s="27" t="s">
        <v>22</v>
      </c>
      <c r="J66" s="29">
        <v>7</v>
      </c>
      <c r="K66" s="30" t="s">
        <v>39</v>
      </c>
      <c r="L66" s="31" t="s">
        <v>493</v>
      </c>
      <c r="M66" s="32" t="s">
        <v>40</v>
      </c>
      <c r="N66" s="33" t="s">
        <v>122</v>
      </c>
      <c r="O66" s="33" t="s">
        <v>494</v>
      </c>
      <c r="P66" s="34" t="s">
        <v>495</v>
      </c>
      <c r="Q66" s="33" t="b">
        <v>0</v>
      </c>
      <c r="R66" s="33" t="s">
        <v>41</v>
      </c>
      <c r="S66" s="16" t="s">
        <v>42</v>
      </c>
      <c r="T66" s="64" t="s">
        <v>496</v>
      </c>
      <c r="U66" s="31" t="s">
        <v>67</v>
      </c>
      <c r="V66" s="63"/>
      <c r="W66" s="45"/>
      <c r="X66" s="34" t="s">
        <v>54</v>
      </c>
      <c r="Y66" s="36" t="str">
        <f ca="1">IFERROR(__xludf.DUMMYFUNCTION("VLOOKUP($G362, IMPORTRANGE(""https://docs.google.com/spreadsheets/d/1m0XUyo6H-YHIwm-JawEbLnxdQgU4gDApt1rpXCJkbqs/edit?gid=602588258#gid=602588258"", ""EQUIPOS!G4:523"") ,13,0)"),"#REF!")</f>
        <v>#REF!</v>
      </c>
      <c r="Z66" s="36" t="str">
        <f ca="1">IFERROR(__xludf.DUMMYFUNCTION("VLOOKUP($G362, IMPORTRANGE(""https://docs.google.com/spreadsheets/d/1m0XUyo6H-YHIwm-JawEbLnxdQgU4gDApt1rpXCJkbqs/edit?gid=602588258#gid=602588258"", ""EQUIPOS!G4:523"") ,14,0)"),"#REF!")</f>
        <v>#REF!</v>
      </c>
      <c r="AA66" s="36" t="str">
        <f ca="1">IFERROR(__xludf.DUMMYFUNCTION("VLOOKUP($G362, IMPORTRANGE(""https://docs.google.com/spreadsheets/d/1m0XUyo6H-YHIwm-JawEbLnxdQgU4gDApt1rpXCJkbqs/edit?gid=602588258#gid=602588258"", ""EQUIPOS!G4:523"") ,15,0)"),"#REF!")</f>
        <v>#REF!</v>
      </c>
      <c r="AB66" s="36" t="str">
        <f ca="1">IFERROR(__xludf.DUMMYFUNCTION("VLOOKUP($G362, IMPORTRANGE(""https://docs.google.com/spreadsheets/d/1m0XUyo6H-YHIwm-JawEbLnxdQgU4gDApt1rpXCJkbqs/edit?gid=602588258#gid=602588258"", ""EQUIPOS!G4:523"") ,16,0)"),"#REF!")</f>
        <v>#REF!</v>
      </c>
      <c r="AC66" s="7"/>
    </row>
    <row r="67" spans="1:29" ht="42" customHeight="1">
      <c r="A67" s="7"/>
      <c r="B67" s="26">
        <v>360</v>
      </c>
      <c r="C67" s="27" t="b">
        <v>1</v>
      </c>
      <c r="D67" s="70" t="s">
        <v>58</v>
      </c>
      <c r="E67" s="27" t="s">
        <v>270</v>
      </c>
      <c r="F67" s="27" t="s">
        <v>497</v>
      </c>
      <c r="G67" s="27" t="s">
        <v>497</v>
      </c>
      <c r="H67" s="28" t="s">
        <v>498</v>
      </c>
      <c r="I67" s="27" t="s">
        <v>22</v>
      </c>
      <c r="J67" s="29">
        <v>8</v>
      </c>
      <c r="K67" s="30" t="s">
        <v>39</v>
      </c>
      <c r="L67" s="31" t="s">
        <v>499</v>
      </c>
      <c r="M67" s="32" t="s">
        <v>500</v>
      </c>
      <c r="N67" s="33" t="s">
        <v>501</v>
      </c>
      <c r="O67" s="33">
        <v>322541</v>
      </c>
      <c r="P67" s="54" t="s">
        <v>502</v>
      </c>
      <c r="Q67" s="33" t="b">
        <v>0</v>
      </c>
      <c r="R67" s="33" t="s">
        <v>41</v>
      </c>
      <c r="S67" s="35" t="s">
        <v>42</v>
      </c>
      <c r="T67" s="34" t="s">
        <v>503</v>
      </c>
      <c r="U67" s="31" t="s">
        <v>67</v>
      </c>
      <c r="V67" s="63"/>
      <c r="W67" s="45"/>
      <c r="X67" s="34" t="s">
        <v>57</v>
      </c>
      <c r="Y67" s="36" t="str">
        <f ca="1">IFERROR(__xludf.DUMMYFUNCTION("VLOOKUP($G365, IMPORTRANGE(""https://docs.google.com/spreadsheets/d/1m0XUyo6H-YHIwm-JawEbLnxdQgU4gDApt1rpXCJkbqs/edit?gid=602588258#gid=602588258"", ""EQUIPOS!G4:523"") ,13,0)"),"#REF!")</f>
        <v>#REF!</v>
      </c>
      <c r="Z67" s="36" t="str">
        <f ca="1">IFERROR(__xludf.DUMMYFUNCTION("VLOOKUP($G365, IMPORTRANGE(""https://docs.google.com/spreadsheets/d/1m0XUyo6H-YHIwm-JawEbLnxdQgU4gDApt1rpXCJkbqs/edit?gid=602588258#gid=602588258"", ""EQUIPOS!G4:523"") ,14,0)"),"#REF!")</f>
        <v>#REF!</v>
      </c>
      <c r="AA67" s="36" t="str">
        <f ca="1">IFERROR(__xludf.DUMMYFUNCTION("VLOOKUP($G365, IMPORTRANGE(""https://docs.google.com/spreadsheets/d/1m0XUyo6H-YHIwm-JawEbLnxdQgU4gDApt1rpXCJkbqs/edit?gid=602588258#gid=602588258"", ""EQUIPOS!G4:523"") ,15,0)"),"#REF!")</f>
        <v>#REF!</v>
      </c>
      <c r="AB67" s="36" t="str">
        <f ca="1">IFERROR(__xludf.DUMMYFUNCTION("VLOOKUP($G365, IMPORTRANGE(""https://docs.google.com/spreadsheets/d/1m0XUyo6H-YHIwm-JawEbLnxdQgU4gDApt1rpXCJkbqs/edit?gid=602588258#gid=602588258"", ""EQUIPOS!G4:523"") ,16,0)"),"#REF!")</f>
        <v>#REF!</v>
      </c>
      <c r="AC67" s="40"/>
    </row>
    <row r="68" spans="1:29" ht="42" customHeight="1">
      <c r="A68" s="7"/>
      <c r="B68" s="26">
        <v>363</v>
      </c>
      <c r="C68" s="27" t="b">
        <v>1</v>
      </c>
      <c r="D68" s="70" t="s">
        <v>58</v>
      </c>
      <c r="E68" s="27" t="s">
        <v>270</v>
      </c>
      <c r="F68" s="27" t="s">
        <v>504</v>
      </c>
      <c r="G68" s="27" t="s">
        <v>504</v>
      </c>
      <c r="H68" s="28" t="s">
        <v>505</v>
      </c>
      <c r="I68" s="27" t="s">
        <v>22</v>
      </c>
      <c r="J68" s="29">
        <v>8</v>
      </c>
      <c r="K68" s="30" t="s">
        <v>39</v>
      </c>
      <c r="L68" s="31" t="s">
        <v>506</v>
      </c>
      <c r="M68" s="32" t="s">
        <v>507</v>
      </c>
      <c r="N68" s="33" t="s">
        <v>508</v>
      </c>
      <c r="O68" s="33" t="s">
        <v>509</v>
      </c>
      <c r="P68" s="34" t="s">
        <v>510</v>
      </c>
      <c r="Q68" s="33" t="b">
        <v>0</v>
      </c>
      <c r="R68" s="33" t="s">
        <v>41</v>
      </c>
      <c r="S68" s="16" t="s">
        <v>42</v>
      </c>
      <c r="T68" s="34" t="s">
        <v>511</v>
      </c>
      <c r="U68" s="31" t="s">
        <v>67</v>
      </c>
      <c r="V68" s="63"/>
      <c r="W68" s="45"/>
      <c r="X68" s="34" t="s">
        <v>57</v>
      </c>
      <c r="Y68" s="36" t="str">
        <f ca="1">IFERROR(__xludf.DUMMYFUNCTION("VLOOKUP($G368, IMPORTRANGE(""https://docs.google.com/spreadsheets/d/1m0XUyo6H-YHIwm-JawEbLnxdQgU4gDApt1rpXCJkbqs/edit?gid=602588258#gid=602588258"", ""EQUIPOS!G4:523"") ,13,0)"),"#REF!")</f>
        <v>#REF!</v>
      </c>
      <c r="Z68" s="36" t="str">
        <f ca="1">IFERROR(__xludf.DUMMYFUNCTION("VLOOKUP($G368, IMPORTRANGE(""https://docs.google.com/spreadsheets/d/1m0XUyo6H-YHIwm-JawEbLnxdQgU4gDApt1rpXCJkbqs/edit?gid=602588258#gid=602588258"", ""EQUIPOS!G4:523"") ,14,0)"),"#REF!")</f>
        <v>#REF!</v>
      </c>
      <c r="AA68" s="36" t="str">
        <f ca="1">IFERROR(__xludf.DUMMYFUNCTION("VLOOKUP($G368, IMPORTRANGE(""https://docs.google.com/spreadsheets/d/1m0XUyo6H-YHIwm-JawEbLnxdQgU4gDApt1rpXCJkbqs/edit?gid=602588258#gid=602588258"", ""EQUIPOS!G4:523"") ,15,0)"),"#REF!")</f>
        <v>#REF!</v>
      </c>
      <c r="AB68" s="36" t="str">
        <f ca="1">IFERROR(__xludf.DUMMYFUNCTION("VLOOKUP($G368, IMPORTRANGE(""https://docs.google.com/spreadsheets/d/1m0XUyo6H-YHIwm-JawEbLnxdQgU4gDApt1rpXCJkbqs/edit?gid=602588258#gid=602588258"", ""EQUIPOS!G4:523"") ,16,0)"),"#REF!")</f>
        <v>#REF!</v>
      </c>
      <c r="AC68" s="40"/>
    </row>
    <row r="69" spans="1:29" ht="42" customHeight="1">
      <c r="A69" s="7"/>
      <c r="B69" s="26">
        <v>372</v>
      </c>
      <c r="C69" s="27" t="b">
        <v>1</v>
      </c>
      <c r="D69" s="70" t="s">
        <v>58</v>
      </c>
      <c r="E69" s="27" t="s">
        <v>270</v>
      </c>
      <c r="F69" s="27" t="s">
        <v>512</v>
      </c>
      <c r="G69" s="27" t="s">
        <v>514</v>
      </c>
      <c r="H69" s="28" t="s">
        <v>513</v>
      </c>
      <c r="I69" s="27" t="s">
        <v>22</v>
      </c>
      <c r="J69" s="29">
        <v>8</v>
      </c>
      <c r="K69" s="30" t="s">
        <v>39</v>
      </c>
      <c r="L69" s="31" t="s">
        <v>515</v>
      </c>
      <c r="M69" s="32" t="s">
        <v>516</v>
      </c>
      <c r="N69" s="33" t="s">
        <v>69</v>
      </c>
      <c r="O69" s="33" t="s">
        <v>517</v>
      </c>
      <c r="P69" s="34" t="s">
        <v>273</v>
      </c>
      <c r="Q69" s="33" t="b">
        <v>0</v>
      </c>
      <c r="R69" s="33" t="s">
        <v>41</v>
      </c>
      <c r="S69" s="16" t="s">
        <v>42</v>
      </c>
      <c r="T69" s="34" t="s">
        <v>518</v>
      </c>
      <c r="U69" s="31" t="s">
        <v>67</v>
      </c>
      <c r="V69" s="63"/>
      <c r="W69" s="45"/>
      <c r="X69" s="34" t="s">
        <v>53</v>
      </c>
      <c r="Y69" s="36" t="str">
        <f ca="1">IFERROR(__xludf.DUMMYFUNCTION("VLOOKUP($G377, IMPORTRANGE(""https://docs.google.com/spreadsheets/d/1m0XUyo6H-YHIwm-JawEbLnxdQgU4gDApt1rpXCJkbqs/edit?gid=602588258#gid=602588258"", ""EQUIPOS!G4:523"") ,13,0)"),"#REF!")</f>
        <v>#REF!</v>
      </c>
      <c r="Z69" s="36" t="str">
        <f ca="1">IFERROR(__xludf.DUMMYFUNCTION("VLOOKUP($G377, IMPORTRANGE(""https://docs.google.com/spreadsheets/d/1m0XUyo6H-YHIwm-JawEbLnxdQgU4gDApt1rpXCJkbqs/edit?gid=602588258#gid=602588258"", ""EQUIPOS!G4:523"") ,14,0)"),"#REF!")</f>
        <v>#REF!</v>
      </c>
      <c r="AA69" s="36" t="str">
        <f ca="1">IFERROR(__xludf.DUMMYFUNCTION("VLOOKUP($G377, IMPORTRANGE(""https://docs.google.com/spreadsheets/d/1m0XUyo6H-YHIwm-JawEbLnxdQgU4gDApt1rpXCJkbqs/edit?gid=602588258#gid=602588258"", ""EQUIPOS!G4:523"") ,15,0)"),"#REF!")</f>
        <v>#REF!</v>
      </c>
      <c r="AB69" s="36" t="str">
        <f ca="1">IFERROR(__xludf.DUMMYFUNCTION("VLOOKUP($G377, IMPORTRANGE(""https://docs.google.com/spreadsheets/d/1m0XUyo6H-YHIwm-JawEbLnxdQgU4gDApt1rpXCJkbqs/edit?gid=602588258#gid=602588258"", ""EQUIPOS!G4:523"") ,16,0)"),"#REF!")</f>
        <v>#REF!</v>
      </c>
      <c r="AC69" s="7"/>
    </row>
    <row r="70" spans="1:29" ht="42" customHeight="1">
      <c r="A70" s="7"/>
      <c r="B70" s="26">
        <v>375</v>
      </c>
      <c r="C70" s="27" t="b">
        <v>1</v>
      </c>
      <c r="D70" s="70" t="s">
        <v>58</v>
      </c>
      <c r="E70" s="27" t="s">
        <v>270</v>
      </c>
      <c r="F70" s="27" t="s">
        <v>519</v>
      </c>
      <c r="G70" s="27" t="s">
        <v>520</v>
      </c>
      <c r="H70" s="28" t="s">
        <v>521</v>
      </c>
      <c r="I70" s="27" t="s">
        <v>22</v>
      </c>
      <c r="J70" s="29">
        <v>5</v>
      </c>
      <c r="K70" s="30" t="s">
        <v>39</v>
      </c>
      <c r="L70" s="31" t="s">
        <v>522</v>
      </c>
      <c r="M70" s="32" t="s">
        <v>40</v>
      </c>
      <c r="N70" s="33" t="s">
        <v>523</v>
      </c>
      <c r="O70" s="33">
        <v>10232</v>
      </c>
      <c r="P70" s="34" t="s">
        <v>524</v>
      </c>
      <c r="Q70" s="33" t="b">
        <v>0</v>
      </c>
      <c r="R70" s="33" t="s">
        <v>41</v>
      </c>
      <c r="S70" s="16" t="s">
        <v>42</v>
      </c>
      <c r="T70" s="34" t="s">
        <v>525</v>
      </c>
      <c r="U70" s="31" t="s">
        <v>50</v>
      </c>
      <c r="V70" s="63"/>
      <c r="W70" s="45"/>
      <c r="X70" s="34" t="s">
        <v>452</v>
      </c>
      <c r="Y70" s="36" t="str">
        <f ca="1">IFERROR(__xludf.DUMMYFUNCTION("VLOOKUP($G380, IMPORTRANGE(""https://docs.google.com/spreadsheets/d/1m0XUyo6H-YHIwm-JawEbLnxdQgU4gDApt1rpXCJkbqs/edit?gid=602588258#gid=602588258"", ""EQUIPOS!G4:523"") ,13,0)"),"#REF!")</f>
        <v>#REF!</v>
      </c>
      <c r="Z70" s="36" t="str">
        <f ca="1">IFERROR(__xludf.DUMMYFUNCTION("VLOOKUP($G380, IMPORTRANGE(""https://docs.google.com/spreadsheets/d/1m0XUyo6H-YHIwm-JawEbLnxdQgU4gDApt1rpXCJkbqs/edit?gid=602588258#gid=602588258"", ""EQUIPOS!G4:523"") ,14,0)"),"#REF!")</f>
        <v>#REF!</v>
      </c>
      <c r="AA70" s="36" t="str">
        <f ca="1">IFERROR(__xludf.DUMMYFUNCTION("VLOOKUP($G380, IMPORTRANGE(""https://docs.google.com/spreadsheets/d/1m0XUyo6H-YHIwm-JawEbLnxdQgU4gDApt1rpXCJkbqs/edit?gid=602588258#gid=602588258"", ""EQUIPOS!G4:523"") ,15,0)"),"#REF!")</f>
        <v>#REF!</v>
      </c>
      <c r="AB70" s="36" t="str">
        <f ca="1">IFERROR(__xludf.DUMMYFUNCTION("VLOOKUP($G380, IMPORTRANGE(""https://docs.google.com/spreadsheets/d/1m0XUyo6H-YHIwm-JawEbLnxdQgU4gDApt1rpXCJkbqs/edit?gid=602588258#gid=602588258"", ""EQUIPOS!G4:523"") ,16,0)"),"#REF!")</f>
        <v>#REF!</v>
      </c>
      <c r="AC70" s="7"/>
    </row>
    <row r="71" spans="1:29" ht="42" customHeight="1">
      <c r="A71" s="7"/>
      <c r="B71" s="26">
        <v>389</v>
      </c>
      <c r="C71" s="27" t="b">
        <v>1</v>
      </c>
      <c r="D71" s="70" t="s">
        <v>58</v>
      </c>
      <c r="E71" s="27" t="s">
        <v>270</v>
      </c>
      <c r="F71" s="27" t="s">
        <v>527</v>
      </c>
      <c r="G71" s="27" t="s">
        <v>532</v>
      </c>
      <c r="H71" s="28" t="s">
        <v>528</v>
      </c>
      <c r="I71" s="27" t="s">
        <v>22</v>
      </c>
      <c r="J71" s="29">
        <v>8</v>
      </c>
      <c r="K71" s="30" t="s">
        <v>39</v>
      </c>
      <c r="L71" s="31" t="s">
        <v>533</v>
      </c>
      <c r="M71" s="32" t="s">
        <v>534</v>
      </c>
      <c r="N71" s="33" t="s">
        <v>529</v>
      </c>
      <c r="O71" s="33" t="s">
        <v>530</v>
      </c>
      <c r="P71" s="34" t="s">
        <v>531</v>
      </c>
      <c r="Q71" s="33" t="b">
        <v>0</v>
      </c>
      <c r="R71" s="33" t="s">
        <v>41</v>
      </c>
      <c r="S71" s="16" t="s">
        <v>42</v>
      </c>
      <c r="T71" s="34" t="s">
        <v>535</v>
      </c>
      <c r="U71" s="31" t="s">
        <v>67</v>
      </c>
      <c r="V71" s="45"/>
      <c r="W71" s="27"/>
      <c r="X71" s="34" t="s">
        <v>53</v>
      </c>
      <c r="Y71" s="36" t="str">
        <f ca="1">IFERROR(__xludf.DUMMYFUNCTION("VLOOKUP($G394, IMPORTRANGE(""https://docs.google.com/spreadsheets/d/1m0XUyo6H-YHIwm-JawEbLnxdQgU4gDApt1rpXCJkbqs/edit?gid=602588258#gid=602588258"", ""EQUIPOS!G4:523"") ,13,0)"),"#REF!")</f>
        <v>#REF!</v>
      </c>
      <c r="Z71" s="36" t="str">
        <f ca="1">IFERROR(__xludf.DUMMYFUNCTION("VLOOKUP($G394, IMPORTRANGE(""https://docs.google.com/spreadsheets/d/1m0XUyo6H-YHIwm-JawEbLnxdQgU4gDApt1rpXCJkbqs/edit?gid=602588258#gid=602588258"", ""EQUIPOS!G4:523"") ,14,0)"),"#REF!")</f>
        <v>#REF!</v>
      </c>
      <c r="AA71" s="36" t="str">
        <f ca="1">IFERROR(__xludf.DUMMYFUNCTION("VLOOKUP($G394, IMPORTRANGE(""https://docs.google.com/spreadsheets/d/1m0XUyo6H-YHIwm-JawEbLnxdQgU4gDApt1rpXCJkbqs/edit?gid=602588258#gid=602588258"", ""EQUIPOS!G4:523"") ,15,0)"),"#REF!")</f>
        <v>#REF!</v>
      </c>
      <c r="AB71" s="36" t="str">
        <f ca="1">IFERROR(__xludf.DUMMYFUNCTION("VLOOKUP($G394, IMPORTRANGE(""https://docs.google.com/spreadsheets/d/1m0XUyo6H-YHIwm-JawEbLnxdQgU4gDApt1rpXCJkbqs/edit?gid=602588258#gid=602588258"", ""EQUIPOS!G4:523"") ,16,0)"),"#REF!")</f>
        <v>#REF!</v>
      </c>
      <c r="AC71" s="7"/>
    </row>
    <row r="72" spans="1:29" ht="42" customHeight="1">
      <c r="A72" s="7"/>
      <c r="B72" s="26">
        <v>392</v>
      </c>
      <c r="C72" s="27" t="b">
        <v>1</v>
      </c>
      <c r="D72" s="70" t="s">
        <v>58</v>
      </c>
      <c r="E72" s="27" t="s">
        <v>270</v>
      </c>
      <c r="F72" s="27" t="s">
        <v>536</v>
      </c>
      <c r="G72" s="27" t="s">
        <v>536</v>
      </c>
      <c r="H72" s="28" t="s">
        <v>537</v>
      </c>
      <c r="I72" s="27" t="s">
        <v>22</v>
      </c>
      <c r="J72" s="29">
        <v>8</v>
      </c>
      <c r="K72" s="30" t="s">
        <v>39</v>
      </c>
      <c r="L72" s="31" t="s">
        <v>538</v>
      </c>
      <c r="M72" s="32" t="s">
        <v>40</v>
      </c>
      <c r="N72" s="33" t="s">
        <v>523</v>
      </c>
      <c r="O72" s="33">
        <v>11395</v>
      </c>
      <c r="P72" s="34" t="s">
        <v>539</v>
      </c>
      <c r="Q72" s="33" t="b">
        <v>0</v>
      </c>
      <c r="R72" s="33" t="s">
        <v>41</v>
      </c>
      <c r="S72" s="35" t="s">
        <v>42</v>
      </c>
      <c r="T72" s="57" t="s">
        <v>540</v>
      </c>
      <c r="U72" s="31" t="s">
        <v>67</v>
      </c>
      <c r="V72" s="45"/>
      <c r="W72" s="27"/>
      <c r="X72" s="34" t="s">
        <v>54</v>
      </c>
      <c r="Y72" s="36" t="str">
        <f ca="1">IFERROR(__xludf.DUMMYFUNCTION("VLOOKUP($G397, IMPORTRANGE(""https://docs.google.com/spreadsheets/d/1m0XUyo6H-YHIwm-JawEbLnxdQgU4gDApt1rpXCJkbqs/edit?gid=602588258#gid=602588258"", ""EQUIPOS!G4:523"") ,13,0)"),"#REF!")</f>
        <v>#REF!</v>
      </c>
      <c r="Z72" s="36" t="str">
        <f ca="1">IFERROR(__xludf.DUMMYFUNCTION("VLOOKUP($G397, IMPORTRANGE(""https://docs.google.com/spreadsheets/d/1m0XUyo6H-YHIwm-JawEbLnxdQgU4gDApt1rpXCJkbqs/edit?gid=602588258#gid=602588258"", ""EQUIPOS!G4:523"") ,14,0)"),"#REF!")</f>
        <v>#REF!</v>
      </c>
      <c r="AA72" s="36" t="str">
        <f ca="1">IFERROR(__xludf.DUMMYFUNCTION("VLOOKUP($G397, IMPORTRANGE(""https://docs.google.com/spreadsheets/d/1m0XUyo6H-YHIwm-JawEbLnxdQgU4gDApt1rpXCJkbqs/edit?gid=602588258#gid=602588258"", ""EQUIPOS!G4:523"") ,15,0)"),"#REF!")</f>
        <v>#REF!</v>
      </c>
      <c r="AB72" s="36" t="str">
        <f ca="1">IFERROR(__xludf.DUMMYFUNCTION("VLOOKUP($G397, IMPORTRANGE(""https://docs.google.com/spreadsheets/d/1m0XUyo6H-YHIwm-JawEbLnxdQgU4gDApt1rpXCJkbqs/edit?gid=602588258#gid=602588258"", ""EQUIPOS!G4:523"") ,16,0)"),"#REF!")</f>
        <v>#REF!</v>
      </c>
      <c r="AC72" s="7"/>
    </row>
    <row r="73" spans="1:29" ht="42" customHeight="1">
      <c r="A73" s="7"/>
      <c r="B73" s="26">
        <v>393</v>
      </c>
      <c r="C73" s="27" t="b">
        <v>1</v>
      </c>
      <c r="D73" s="70" t="s">
        <v>58</v>
      </c>
      <c r="E73" s="27" t="s">
        <v>270</v>
      </c>
      <c r="F73" s="27" t="s">
        <v>541</v>
      </c>
      <c r="G73" s="27" t="s">
        <v>541</v>
      </c>
      <c r="H73" s="28" t="s">
        <v>542</v>
      </c>
      <c r="I73" s="27" t="s">
        <v>22</v>
      </c>
      <c r="J73" s="29">
        <v>2</v>
      </c>
      <c r="K73" s="30" t="s">
        <v>39</v>
      </c>
      <c r="L73" s="31" t="s">
        <v>543</v>
      </c>
      <c r="M73" s="32" t="s">
        <v>40</v>
      </c>
      <c r="N73" s="33" t="s">
        <v>544</v>
      </c>
      <c r="O73" s="33" t="s">
        <v>545</v>
      </c>
      <c r="P73" s="34" t="s">
        <v>546</v>
      </c>
      <c r="Q73" s="33" t="b">
        <v>0</v>
      </c>
      <c r="R73" s="33" t="s">
        <v>41</v>
      </c>
      <c r="S73" s="27" t="s">
        <v>136</v>
      </c>
      <c r="T73" s="34" t="s">
        <v>547</v>
      </c>
      <c r="U73" s="31" t="s">
        <v>67</v>
      </c>
      <c r="V73" s="45"/>
      <c r="W73" s="27"/>
      <c r="X73" s="34" t="s">
        <v>57</v>
      </c>
      <c r="Y73" s="36" t="str">
        <f ca="1">IFERROR(__xludf.DUMMYFUNCTION("VLOOKUP($G398, IMPORTRANGE(""https://docs.google.com/spreadsheets/d/1m0XUyo6H-YHIwm-JawEbLnxdQgU4gDApt1rpXCJkbqs/edit?gid=602588258#gid=602588258"", ""EQUIPOS!G4:523"") ,13,0)"),"#REF!")</f>
        <v>#REF!</v>
      </c>
      <c r="Z73" s="36" t="str">
        <f ca="1">IFERROR(__xludf.DUMMYFUNCTION("VLOOKUP($G398, IMPORTRANGE(""https://docs.google.com/spreadsheets/d/1m0XUyo6H-YHIwm-JawEbLnxdQgU4gDApt1rpXCJkbqs/edit?gid=602588258#gid=602588258"", ""EQUIPOS!G4:523"") ,14,0)"),"#REF!")</f>
        <v>#REF!</v>
      </c>
      <c r="AA73" s="36" t="str">
        <f ca="1">IFERROR(__xludf.DUMMYFUNCTION("VLOOKUP($G398, IMPORTRANGE(""https://docs.google.com/spreadsheets/d/1m0XUyo6H-YHIwm-JawEbLnxdQgU4gDApt1rpXCJkbqs/edit?gid=602588258#gid=602588258"", ""EQUIPOS!G4:523"") ,15,0)"),"#REF!")</f>
        <v>#REF!</v>
      </c>
      <c r="AB73" s="36" t="str">
        <f ca="1">IFERROR(__xludf.DUMMYFUNCTION("VLOOKUP($G398, IMPORTRANGE(""https://docs.google.com/spreadsheets/d/1m0XUyo6H-YHIwm-JawEbLnxdQgU4gDApt1rpXCJkbqs/edit?gid=602588258#gid=602588258"", ""EQUIPOS!G4:523"") ,16,0)"),"#REF!")</f>
        <v>#REF!</v>
      </c>
      <c r="AC73" s="52"/>
    </row>
    <row r="74" spans="1:29" ht="42" customHeight="1">
      <c r="A74" s="7"/>
      <c r="B74" s="26">
        <v>394</v>
      </c>
      <c r="C74" s="41" t="b">
        <v>1</v>
      </c>
      <c r="D74" s="71" t="s">
        <v>58</v>
      </c>
      <c r="E74" s="41" t="s">
        <v>270</v>
      </c>
      <c r="F74" s="41" t="s">
        <v>548</v>
      </c>
      <c r="G74" s="41" t="s">
        <v>548</v>
      </c>
      <c r="H74" s="50" t="s">
        <v>549</v>
      </c>
      <c r="I74" s="27" t="s">
        <v>22</v>
      </c>
      <c r="J74" s="29">
        <v>8</v>
      </c>
      <c r="K74" s="30" t="s">
        <v>39</v>
      </c>
      <c r="L74" s="31" t="s">
        <v>550</v>
      </c>
      <c r="M74" s="32" t="s">
        <v>40</v>
      </c>
      <c r="N74" s="33" t="s">
        <v>122</v>
      </c>
      <c r="O74" s="33" t="s">
        <v>551</v>
      </c>
      <c r="P74" s="54" t="s">
        <v>552</v>
      </c>
      <c r="Q74" s="33" t="b">
        <v>0</v>
      </c>
      <c r="R74" s="33" t="s">
        <v>41</v>
      </c>
      <c r="S74" s="27" t="s">
        <v>41</v>
      </c>
      <c r="T74" s="34" t="s">
        <v>553</v>
      </c>
      <c r="U74" s="31" t="s">
        <v>67</v>
      </c>
      <c r="V74" s="45"/>
      <c r="W74" s="27"/>
      <c r="X74" s="34" t="s">
        <v>57</v>
      </c>
      <c r="Y74" s="36" t="str">
        <f ca="1">IFERROR(__xludf.DUMMYFUNCTION("VLOOKUP($G399, IMPORTRANGE(""https://docs.google.com/spreadsheets/d/1m0XUyo6H-YHIwm-JawEbLnxdQgU4gDApt1rpXCJkbqs/edit?gid=602588258#gid=602588258"", ""EQUIPOS!G4:523"") ,13,0)"),"#REF!")</f>
        <v>#REF!</v>
      </c>
      <c r="Z74" s="36" t="str">
        <f ca="1">IFERROR(__xludf.DUMMYFUNCTION("VLOOKUP($G399, IMPORTRANGE(""https://docs.google.com/spreadsheets/d/1m0XUyo6H-YHIwm-JawEbLnxdQgU4gDApt1rpXCJkbqs/edit?gid=602588258#gid=602588258"", ""EQUIPOS!G4:523"") ,14,0)"),"#REF!")</f>
        <v>#REF!</v>
      </c>
      <c r="AA74" s="36" t="str">
        <f ca="1">IFERROR(__xludf.DUMMYFUNCTION("VLOOKUP($G399, IMPORTRANGE(""https://docs.google.com/spreadsheets/d/1m0XUyo6H-YHIwm-JawEbLnxdQgU4gDApt1rpXCJkbqs/edit?gid=602588258#gid=602588258"", ""EQUIPOS!G4:523"") ,15,0)"),"#REF!")</f>
        <v>#REF!</v>
      </c>
      <c r="AB74" s="36" t="str">
        <f ca="1">IFERROR(__xludf.DUMMYFUNCTION("VLOOKUP($G399, IMPORTRANGE(""https://docs.google.com/spreadsheets/d/1m0XUyo6H-YHIwm-JawEbLnxdQgU4gDApt1rpXCJkbqs/edit?gid=602588258#gid=602588258"", ""EQUIPOS!G4:523"") ,16,0)"),"#REF!")</f>
        <v>#REF!</v>
      </c>
      <c r="AC74" s="40"/>
    </row>
    <row r="75" spans="1:29" ht="42" customHeight="1">
      <c r="A75" s="7"/>
      <c r="B75" s="26">
        <v>395</v>
      </c>
      <c r="C75" s="27" t="b">
        <v>1</v>
      </c>
      <c r="D75" s="70" t="s">
        <v>58</v>
      </c>
      <c r="E75" s="27" t="s">
        <v>270</v>
      </c>
      <c r="F75" s="27" t="s">
        <v>554</v>
      </c>
      <c r="G75" s="27" t="s">
        <v>555</v>
      </c>
      <c r="H75" s="28" t="s">
        <v>526</v>
      </c>
      <c r="I75" s="27" t="s">
        <v>22</v>
      </c>
      <c r="J75" s="29">
        <v>8</v>
      </c>
      <c r="K75" s="30" t="s">
        <v>39</v>
      </c>
      <c r="L75" s="31" t="s">
        <v>556</v>
      </c>
      <c r="M75" s="32" t="s">
        <v>557</v>
      </c>
      <c r="N75" s="33" t="s">
        <v>374</v>
      </c>
      <c r="O75" s="33" t="s">
        <v>558</v>
      </c>
      <c r="P75" s="34" t="s">
        <v>559</v>
      </c>
      <c r="Q75" s="33" t="b">
        <v>0</v>
      </c>
      <c r="R75" s="33" t="s">
        <v>41</v>
      </c>
      <c r="S75" s="16" t="s">
        <v>42</v>
      </c>
      <c r="T75" s="34" t="s">
        <v>560</v>
      </c>
      <c r="U75" s="31" t="s">
        <v>67</v>
      </c>
      <c r="V75" s="45"/>
      <c r="W75" s="27"/>
      <c r="X75" s="34" t="s">
        <v>54</v>
      </c>
      <c r="Y75" s="36" t="str">
        <f ca="1">IFERROR(__xludf.DUMMYFUNCTION("VLOOKUP($G400, IMPORTRANGE(""https://docs.google.com/spreadsheets/d/1m0XUyo6H-YHIwm-JawEbLnxdQgU4gDApt1rpXCJkbqs/edit?gid=602588258#gid=602588258"", ""EQUIPOS!G4:523"") ,13,0)"),"#REF!")</f>
        <v>#REF!</v>
      </c>
      <c r="Z75" s="36" t="str">
        <f ca="1">IFERROR(__xludf.DUMMYFUNCTION("VLOOKUP($G400, IMPORTRANGE(""https://docs.google.com/spreadsheets/d/1m0XUyo6H-YHIwm-JawEbLnxdQgU4gDApt1rpXCJkbqs/edit?gid=602588258#gid=602588258"", ""EQUIPOS!G4:523"") ,14,0)"),"#REF!")</f>
        <v>#REF!</v>
      </c>
      <c r="AA75" s="36" t="str">
        <f ca="1">IFERROR(__xludf.DUMMYFUNCTION("VLOOKUP($G400, IMPORTRANGE(""https://docs.google.com/spreadsheets/d/1m0XUyo6H-YHIwm-JawEbLnxdQgU4gDApt1rpXCJkbqs/edit?gid=602588258#gid=602588258"", ""EQUIPOS!G4:523"") ,15,0)"),"#REF!")</f>
        <v>#REF!</v>
      </c>
      <c r="AB75" s="36" t="str">
        <f ca="1">IFERROR(__xludf.DUMMYFUNCTION("VLOOKUP($G400, IMPORTRANGE(""https://docs.google.com/spreadsheets/d/1m0XUyo6H-YHIwm-JawEbLnxdQgU4gDApt1rpXCJkbqs/edit?gid=602588258#gid=602588258"", ""EQUIPOS!G4:523"") ,16,0)"),"#REF!")</f>
        <v>#REF!</v>
      </c>
      <c r="AC75" s="7"/>
    </row>
    <row r="76" spans="1:29" ht="42" customHeight="1">
      <c r="A76" s="7"/>
      <c r="B76" s="26">
        <v>400</v>
      </c>
      <c r="C76" s="27" t="b">
        <v>1</v>
      </c>
      <c r="D76" s="70" t="s">
        <v>58</v>
      </c>
      <c r="E76" s="27" t="s">
        <v>270</v>
      </c>
      <c r="F76" s="27" t="s">
        <v>561</v>
      </c>
      <c r="G76" s="27" t="s">
        <v>561</v>
      </c>
      <c r="H76" s="28" t="s">
        <v>562</v>
      </c>
      <c r="I76" s="27" t="s">
        <v>22</v>
      </c>
      <c r="J76" s="29">
        <v>8</v>
      </c>
      <c r="K76" s="30" t="s">
        <v>39</v>
      </c>
      <c r="L76" s="31" t="s">
        <v>563</v>
      </c>
      <c r="M76" s="32" t="s">
        <v>40</v>
      </c>
      <c r="N76" s="33" t="s">
        <v>564</v>
      </c>
      <c r="O76" s="33" t="s">
        <v>565</v>
      </c>
      <c r="P76" s="34" t="s">
        <v>566</v>
      </c>
      <c r="Q76" s="33" t="b">
        <v>0</v>
      </c>
      <c r="R76" s="33" t="s">
        <v>41</v>
      </c>
      <c r="S76" s="35" t="s">
        <v>42</v>
      </c>
      <c r="T76" s="53" t="s">
        <v>567</v>
      </c>
      <c r="U76" s="31" t="s">
        <v>67</v>
      </c>
      <c r="V76" s="45"/>
      <c r="W76" s="27"/>
      <c r="X76" s="34" t="s">
        <v>54</v>
      </c>
      <c r="Y76" s="36" t="str">
        <f ca="1">IFERROR(__xludf.DUMMYFUNCTION("VLOOKUP($G405, IMPORTRANGE(""https://docs.google.com/spreadsheets/d/1m0XUyo6H-YHIwm-JawEbLnxdQgU4gDApt1rpXCJkbqs/edit?gid=602588258#gid=602588258"", ""EQUIPOS!G4:523"") ,13,0)"),"#REF!")</f>
        <v>#REF!</v>
      </c>
      <c r="Z76" s="36" t="str">
        <f ca="1">IFERROR(__xludf.DUMMYFUNCTION("VLOOKUP($G405, IMPORTRANGE(""https://docs.google.com/spreadsheets/d/1m0XUyo6H-YHIwm-JawEbLnxdQgU4gDApt1rpXCJkbqs/edit?gid=602588258#gid=602588258"", ""EQUIPOS!G4:523"") ,14,0)"),"#REF!")</f>
        <v>#REF!</v>
      </c>
      <c r="AA76" s="36" t="str">
        <f ca="1">IFERROR(__xludf.DUMMYFUNCTION("VLOOKUP($G405, IMPORTRANGE(""https://docs.google.com/spreadsheets/d/1m0XUyo6H-YHIwm-JawEbLnxdQgU4gDApt1rpXCJkbqs/edit?gid=602588258#gid=602588258"", ""EQUIPOS!G4:523"") ,15,0)"),"#REF!")</f>
        <v>#REF!</v>
      </c>
      <c r="AB76" s="36" t="str">
        <f ca="1">IFERROR(__xludf.DUMMYFUNCTION("VLOOKUP($G405, IMPORTRANGE(""https://docs.google.com/spreadsheets/d/1m0XUyo6H-YHIwm-JawEbLnxdQgU4gDApt1rpXCJkbqs/edit?gid=602588258#gid=602588258"", ""EQUIPOS!G4:523"") ,16,0)"),"#REF!")</f>
        <v>#REF!</v>
      </c>
      <c r="AC76" s="7"/>
    </row>
    <row r="77" spans="1:29" ht="42" customHeight="1">
      <c r="A77" s="7"/>
      <c r="B77" s="26">
        <v>401</v>
      </c>
      <c r="C77" s="27" t="b">
        <v>1</v>
      </c>
      <c r="D77" s="70" t="s">
        <v>58</v>
      </c>
      <c r="E77" s="27" t="s">
        <v>270</v>
      </c>
      <c r="F77" s="27" t="s">
        <v>568</v>
      </c>
      <c r="G77" s="27" t="s">
        <v>568</v>
      </c>
      <c r="H77" s="28" t="s">
        <v>569</v>
      </c>
      <c r="I77" s="27" t="s">
        <v>22</v>
      </c>
      <c r="J77" s="29">
        <v>8</v>
      </c>
      <c r="K77" s="30" t="s">
        <v>39</v>
      </c>
      <c r="L77" s="31" t="s">
        <v>570</v>
      </c>
      <c r="M77" s="32" t="s">
        <v>40</v>
      </c>
      <c r="N77" s="33" t="s">
        <v>374</v>
      </c>
      <c r="O77" s="33" t="s">
        <v>571</v>
      </c>
      <c r="P77" s="34" t="s">
        <v>572</v>
      </c>
      <c r="Q77" s="33" t="b">
        <v>0</v>
      </c>
      <c r="R77" s="33" t="s">
        <v>41</v>
      </c>
      <c r="S77" s="16" t="s">
        <v>42</v>
      </c>
      <c r="T77" s="34" t="s">
        <v>573</v>
      </c>
      <c r="U77" s="31" t="s">
        <v>67</v>
      </c>
      <c r="V77" s="45"/>
      <c r="W77" s="27"/>
      <c r="X77" s="34" t="s">
        <v>57</v>
      </c>
      <c r="Y77" s="36" t="str">
        <f ca="1">IFERROR(__xludf.DUMMYFUNCTION("VLOOKUP($G406, IMPORTRANGE(""https://docs.google.com/spreadsheets/d/1m0XUyo6H-YHIwm-JawEbLnxdQgU4gDApt1rpXCJkbqs/edit?gid=602588258#gid=602588258"", ""EQUIPOS!G4:523"") ,13,0)"),"#REF!")</f>
        <v>#REF!</v>
      </c>
      <c r="Z77" s="36" t="str">
        <f ca="1">IFERROR(__xludf.DUMMYFUNCTION("VLOOKUP($G406, IMPORTRANGE(""https://docs.google.com/spreadsheets/d/1m0XUyo6H-YHIwm-JawEbLnxdQgU4gDApt1rpXCJkbqs/edit?gid=602588258#gid=602588258"", ""EQUIPOS!G4:523"") ,14,0)"),"#REF!")</f>
        <v>#REF!</v>
      </c>
      <c r="AA77" s="36" t="str">
        <f ca="1">IFERROR(__xludf.DUMMYFUNCTION("VLOOKUP($G406, IMPORTRANGE(""https://docs.google.com/spreadsheets/d/1m0XUyo6H-YHIwm-JawEbLnxdQgU4gDApt1rpXCJkbqs/edit?gid=602588258#gid=602588258"", ""EQUIPOS!G4:523"") ,15,0)"),"#REF!")</f>
        <v>#REF!</v>
      </c>
      <c r="AB77" s="36" t="str">
        <f ca="1">IFERROR(__xludf.DUMMYFUNCTION("VLOOKUP($G406, IMPORTRANGE(""https://docs.google.com/spreadsheets/d/1m0XUyo6H-YHIwm-JawEbLnxdQgU4gDApt1rpXCJkbqs/edit?gid=602588258#gid=602588258"", ""EQUIPOS!G4:523"") ,16,0)"),"#REF!")</f>
        <v>#REF!</v>
      </c>
      <c r="AC77" s="66"/>
    </row>
    <row r="78" spans="1:29" ht="42" customHeight="1">
      <c r="A78" s="7"/>
      <c r="B78" s="26">
        <v>404</v>
      </c>
      <c r="C78" s="27" t="b">
        <v>1</v>
      </c>
      <c r="D78" s="70" t="s">
        <v>58</v>
      </c>
      <c r="E78" s="27" t="s">
        <v>270</v>
      </c>
      <c r="F78" s="27" t="s">
        <v>574</v>
      </c>
      <c r="G78" s="38" t="s">
        <v>574</v>
      </c>
      <c r="H78" s="28" t="s">
        <v>575</v>
      </c>
      <c r="I78" s="27" t="s">
        <v>22</v>
      </c>
      <c r="J78" s="29">
        <v>24</v>
      </c>
      <c r="K78" s="30" t="s">
        <v>39</v>
      </c>
      <c r="L78" s="33" t="s">
        <v>576</v>
      </c>
      <c r="M78" s="32" t="s">
        <v>40</v>
      </c>
      <c r="N78" s="33" t="s">
        <v>529</v>
      </c>
      <c r="O78" s="33" t="s">
        <v>577</v>
      </c>
      <c r="P78" s="34" t="s">
        <v>578</v>
      </c>
      <c r="Q78" s="37" t="b">
        <v>0</v>
      </c>
      <c r="R78" s="37" t="s">
        <v>41</v>
      </c>
      <c r="S78" s="16" t="s">
        <v>42</v>
      </c>
      <c r="T78" s="34" t="s">
        <v>579</v>
      </c>
      <c r="U78" s="31" t="s">
        <v>52</v>
      </c>
      <c r="V78" s="45"/>
      <c r="W78" s="27"/>
      <c r="X78" s="34" t="s">
        <v>57</v>
      </c>
      <c r="Y78" s="36" t="str">
        <f ca="1">IFERROR(__xludf.DUMMYFUNCTION("VLOOKUP($G409, IMPORTRANGE(""https://docs.google.com/spreadsheets/d/1m0XUyo6H-YHIwm-JawEbLnxdQgU4gDApt1rpXCJkbqs/edit?gid=602588258#gid=602588258"", ""EQUIPOS!G4:523"") ,13,0)"),"#REF!")</f>
        <v>#REF!</v>
      </c>
      <c r="Z78" s="36" t="str">
        <f ca="1">IFERROR(__xludf.DUMMYFUNCTION("VLOOKUP($G409, IMPORTRANGE(""https://docs.google.com/spreadsheets/d/1m0XUyo6H-YHIwm-JawEbLnxdQgU4gDApt1rpXCJkbqs/edit?gid=602588258#gid=602588258"", ""EQUIPOS!G4:523"") ,14,0)"),"#REF!")</f>
        <v>#REF!</v>
      </c>
      <c r="AA78" s="36" t="str">
        <f ca="1">IFERROR(__xludf.DUMMYFUNCTION("VLOOKUP($G409, IMPORTRANGE(""https://docs.google.com/spreadsheets/d/1m0XUyo6H-YHIwm-JawEbLnxdQgU4gDApt1rpXCJkbqs/edit?gid=602588258#gid=602588258"", ""EQUIPOS!G4:523"") ,15,0)"),"#REF!")</f>
        <v>#REF!</v>
      </c>
      <c r="AB78" s="36" t="str">
        <f ca="1">IFERROR(__xludf.DUMMYFUNCTION("VLOOKUP($G409, IMPORTRANGE(""https://docs.google.com/spreadsheets/d/1m0XUyo6H-YHIwm-JawEbLnxdQgU4gDApt1rpXCJkbqs/edit?gid=602588258#gid=602588258"", ""EQUIPOS!G4:523"") ,16,0)"),"#REF!")</f>
        <v>#REF!</v>
      </c>
      <c r="AC78" s="40"/>
    </row>
    <row r="79" spans="1:29" ht="42" customHeight="1">
      <c r="A79" s="7"/>
      <c r="B79" s="26">
        <v>408</v>
      </c>
      <c r="C79" s="27" t="b">
        <v>1</v>
      </c>
      <c r="D79" s="70" t="s">
        <v>58</v>
      </c>
      <c r="E79" s="27" t="s">
        <v>270</v>
      </c>
      <c r="F79" s="27" t="s">
        <v>580</v>
      </c>
      <c r="G79" s="27" t="s">
        <v>581</v>
      </c>
      <c r="H79" s="28" t="s">
        <v>582</v>
      </c>
      <c r="I79" s="27" t="s">
        <v>22</v>
      </c>
      <c r="J79" s="29">
        <v>8</v>
      </c>
      <c r="K79" s="30" t="s">
        <v>39</v>
      </c>
      <c r="L79" s="31" t="s">
        <v>583</v>
      </c>
      <c r="M79" s="32" t="s">
        <v>40</v>
      </c>
      <c r="N79" s="33" t="s">
        <v>584</v>
      </c>
      <c r="O79" s="33" t="s">
        <v>585</v>
      </c>
      <c r="P79" s="34" t="s">
        <v>586</v>
      </c>
      <c r="Q79" s="33" t="b">
        <v>0</v>
      </c>
      <c r="R79" s="33" t="s">
        <v>41</v>
      </c>
      <c r="S79" s="16" t="s">
        <v>42</v>
      </c>
      <c r="T79" s="34" t="s">
        <v>587</v>
      </c>
      <c r="U79" s="31" t="s">
        <v>67</v>
      </c>
      <c r="V79" s="27"/>
      <c r="W79" s="27"/>
      <c r="X79" s="34" t="s">
        <v>57</v>
      </c>
      <c r="Y79" s="36" t="str">
        <f ca="1">IFERROR(__xludf.DUMMYFUNCTION("VLOOKUP($G413, IMPORTRANGE(""https://docs.google.com/spreadsheets/d/1m0XUyo6H-YHIwm-JawEbLnxdQgU4gDApt1rpXCJkbqs/edit?gid=602588258#gid=602588258"", ""EQUIPOS!G4:523"") ,13,0)"),"#REF!")</f>
        <v>#REF!</v>
      </c>
      <c r="Z79" s="36" t="str">
        <f ca="1">IFERROR(__xludf.DUMMYFUNCTION("VLOOKUP($G413, IMPORTRANGE(""https://docs.google.com/spreadsheets/d/1m0XUyo6H-YHIwm-JawEbLnxdQgU4gDApt1rpXCJkbqs/edit?gid=602588258#gid=602588258"", ""EQUIPOS!G4:523"") ,14,0)"),"#REF!")</f>
        <v>#REF!</v>
      </c>
      <c r="AA79" s="36" t="str">
        <f ca="1">IFERROR(__xludf.DUMMYFUNCTION("VLOOKUP($G413, IMPORTRANGE(""https://docs.google.com/spreadsheets/d/1m0XUyo6H-YHIwm-JawEbLnxdQgU4gDApt1rpXCJkbqs/edit?gid=602588258#gid=602588258"", ""EQUIPOS!G4:523"") ,15,0)"),"#REF!")</f>
        <v>#REF!</v>
      </c>
      <c r="AB79" s="36" t="str">
        <f ca="1">IFERROR(__xludf.DUMMYFUNCTION("VLOOKUP($G413, IMPORTRANGE(""https://docs.google.com/spreadsheets/d/1m0XUyo6H-YHIwm-JawEbLnxdQgU4gDApt1rpXCJkbqs/edit?gid=602588258#gid=602588258"", ""EQUIPOS!G4:523"") ,16,0)"),"#REF!")</f>
        <v>#REF!</v>
      </c>
      <c r="AC79" s="65"/>
    </row>
    <row r="80" spans="1:29" ht="42" customHeight="1">
      <c r="A80" s="7"/>
      <c r="B80" s="26">
        <v>414</v>
      </c>
      <c r="C80" s="16" t="b">
        <v>1</v>
      </c>
      <c r="D80" s="70" t="s">
        <v>58</v>
      </c>
      <c r="E80" s="27" t="s">
        <v>270</v>
      </c>
      <c r="F80" s="27" t="s">
        <v>588</v>
      </c>
      <c r="G80" s="27" t="s">
        <v>588</v>
      </c>
      <c r="H80" s="28" t="s">
        <v>589</v>
      </c>
      <c r="I80" s="27" t="s">
        <v>22</v>
      </c>
      <c r="J80" s="29">
        <v>16</v>
      </c>
      <c r="K80" s="30" t="s">
        <v>39</v>
      </c>
      <c r="L80" s="61" t="s">
        <v>590</v>
      </c>
      <c r="M80" s="32" t="s">
        <v>40</v>
      </c>
      <c r="N80" s="33" t="s">
        <v>69</v>
      </c>
      <c r="O80" s="33" t="s">
        <v>591</v>
      </c>
      <c r="P80" s="67" t="s">
        <v>592</v>
      </c>
      <c r="Q80" s="33" t="b">
        <v>0</v>
      </c>
      <c r="R80" s="33" t="s">
        <v>41</v>
      </c>
      <c r="S80" s="16" t="s">
        <v>42</v>
      </c>
      <c r="T80" s="34" t="s">
        <v>593</v>
      </c>
      <c r="U80" s="31" t="s">
        <v>67</v>
      </c>
      <c r="V80" s="27"/>
      <c r="W80" s="27"/>
      <c r="X80" s="34" t="s">
        <v>57</v>
      </c>
      <c r="Y80" s="36" t="str">
        <f ca="1">IFERROR(__xludf.DUMMYFUNCTION("VLOOKUP($G419, IMPORTRANGE(""https://docs.google.com/spreadsheets/d/1m0XUyo6H-YHIwm-JawEbLnxdQgU4gDApt1rpXCJkbqs/edit?gid=602588258#gid=602588258"", ""EQUIPOS!G4:523"") ,13,0)"),"#REF!")</f>
        <v>#REF!</v>
      </c>
      <c r="Z80" s="36" t="str">
        <f ca="1">IFERROR(__xludf.DUMMYFUNCTION("VLOOKUP($G419, IMPORTRANGE(""https://docs.google.com/spreadsheets/d/1m0XUyo6H-YHIwm-JawEbLnxdQgU4gDApt1rpXCJkbqs/edit?gid=602588258#gid=602588258"", ""EQUIPOS!G4:523"") ,14,0)"),"#REF!")</f>
        <v>#REF!</v>
      </c>
      <c r="AA80" s="36" t="str">
        <f ca="1">IFERROR(__xludf.DUMMYFUNCTION("VLOOKUP($G419, IMPORTRANGE(""https://docs.google.com/spreadsheets/d/1m0XUyo6H-YHIwm-JawEbLnxdQgU4gDApt1rpXCJkbqs/edit?gid=602588258#gid=602588258"", ""EQUIPOS!G4:523"") ,15,0)"),"#REF!")</f>
        <v>#REF!</v>
      </c>
      <c r="AB80" s="36" t="str">
        <f ca="1">IFERROR(__xludf.DUMMYFUNCTION("VLOOKUP($G419, IMPORTRANGE(""https://docs.google.com/spreadsheets/d/1m0XUyo6H-YHIwm-JawEbLnxdQgU4gDApt1rpXCJkbqs/edit?gid=602588258#gid=602588258"", ""EQUIPOS!G4:523"") ,16,0)"),"#REF!")</f>
        <v>#REF!</v>
      </c>
      <c r="AC80" s="65"/>
    </row>
    <row r="81" spans="1:29" ht="42" customHeight="1">
      <c r="A81" s="7"/>
      <c r="B81" s="26">
        <v>418</v>
      </c>
      <c r="C81" s="27" t="b">
        <v>1</v>
      </c>
      <c r="D81" s="70" t="s">
        <v>58</v>
      </c>
      <c r="E81" s="27" t="s">
        <v>270</v>
      </c>
      <c r="F81" s="27" t="s">
        <v>595</v>
      </c>
      <c r="G81" s="27" t="s">
        <v>595</v>
      </c>
      <c r="H81" s="28" t="s">
        <v>596</v>
      </c>
      <c r="I81" s="27" t="s">
        <v>22</v>
      </c>
      <c r="J81" s="29">
        <v>2</v>
      </c>
      <c r="K81" s="30" t="s">
        <v>39</v>
      </c>
      <c r="L81" s="61" t="s">
        <v>597</v>
      </c>
      <c r="M81" s="32" t="s">
        <v>40</v>
      </c>
      <c r="N81" s="33" t="s">
        <v>69</v>
      </c>
      <c r="O81" s="33">
        <v>15512</v>
      </c>
      <c r="P81" s="34" t="s">
        <v>594</v>
      </c>
      <c r="Q81" s="33" t="b">
        <v>0</v>
      </c>
      <c r="R81" s="33" t="s">
        <v>41</v>
      </c>
      <c r="S81" s="16" t="s">
        <v>42</v>
      </c>
      <c r="T81" s="34" t="s">
        <v>598</v>
      </c>
      <c r="U81" s="31" t="s">
        <v>67</v>
      </c>
      <c r="V81" s="27"/>
      <c r="W81" s="27"/>
      <c r="X81" s="34" t="s">
        <v>54</v>
      </c>
      <c r="Y81" s="36" t="str">
        <f ca="1">IFERROR(__xludf.DUMMYFUNCTION("VLOOKUP($G423, IMPORTRANGE(""https://docs.google.com/spreadsheets/d/1m0XUyo6H-YHIwm-JawEbLnxdQgU4gDApt1rpXCJkbqs/edit?gid=602588258#gid=602588258"", ""EQUIPOS!G4:523"") ,13,0)"),"#REF!")</f>
        <v>#REF!</v>
      </c>
      <c r="Z81" s="36" t="str">
        <f ca="1">IFERROR(__xludf.DUMMYFUNCTION("VLOOKUP($G423, IMPORTRANGE(""https://docs.google.com/spreadsheets/d/1m0XUyo6H-YHIwm-JawEbLnxdQgU4gDApt1rpXCJkbqs/edit?gid=602588258#gid=602588258"", ""EQUIPOS!G4:523"") ,14,0)"),"#REF!")</f>
        <v>#REF!</v>
      </c>
      <c r="AA81" s="36" t="str">
        <f ca="1">IFERROR(__xludf.DUMMYFUNCTION("VLOOKUP($G423, IMPORTRANGE(""https://docs.google.com/spreadsheets/d/1m0XUyo6H-YHIwm-JawEbLnxdQgU4gDApt1rpXCJkbqs/edit?gid=602588258#gid=602588258"", ""EQUIPOS!G4:523"") ,15,0)"),"#REF!")</f>
        <v>#REF!</v>
      </c>
      <c r="AB81" s="36" t="str">
        <f ca="1">IFERROR(__xludf.DUMMYFUNCTION("VLOOKUP($G423, IMPORTRANGE(""https://docs.google.com/spreadsheets/d/1m0XUyo6H-YHIwm-JawEbLnxdQgU4gDApt1rpXCJkbqs/edit?gid=602588258#gid=602588258"", ""EQUIPOS!G4:523"") ,16,0)"),"#REF!")</f>
        <v>#REF!</v>
      </c>
      <c r="AC81" s="7"/>
    </row>
    <row r="82" spans="1:29" ht="42" customHeight="1">
      <c r="A82" s="7"/>
      <c r="B82" s="26">
        <v>421</v>
      </c>
      <c r="C82" s="27" t="b">
        <v>1</v>
      </c>
      <c r="D82" s="70" t="s">
        <v>58</v>
      </c>
      <c r="E82" s="27" t="s">
        <v>270</v>
      </c>
      <c r="F82" s="27" t="s">
        <v>599</v>
      </c>
      <c r="G82" s="27" t="s">
        <v>599</v>
      </c>
      <c r="H82" s="28" t="s">
        <v>600</v>
      </c>
      <c r="I82" s="27" t="s">
        <v>22</v>
      </c>
      <c r="J82" s="29">
        <v>8</v>
      </c>
      <c r="K82" s="30" t="s">
        <v>39</v>
      </c>
      <c r="L82" s="61" t="s">
        <v>601</v>
      </c>
      <c r="M82" s="32" t="s">
        <v>40</v>
      </c>
      <c r="N82" s="33" t="s">
        <v>122</v>
      </c>
      <c r="O82" s="33" t="s">
        <v>602</v>
      </c>
      <c r="P82" s="34" t="s">
        <v>341</v>
      </c>
      <c r="Q82" s="33" t="b">
        <v>0</v>
      </c>
      <c r="R82" s="33" t="s">
        <v>41</v>
      </c>
      <c r="S82" s="16" t="s">
        <v>42</v>
      </c>
      <c r="T82" s="59" t="s">
        <v>603</v>
      </c>
      <c r="U82" s="31" t="s">
        <v>67</v>
      </c>
      <c r="V82" s="27"/>
      <c r="W82" s="27"/>
      <c r="X82" s="34" t="s">
        <v>54</v>
      </c>
      <c r="Y82" s="36" t="str">
        <f ca="1">IFERROR(__xludf.DUMMYFUNCTION("VLOOKUP($G426, IMPORTRANGE(""https://docs.google.com/spreadsheets/d/1m0XUyo6H-YHIwm-JawEbLnxdQgU4gDApt1rpXCJkbqs/edit?gid=602588258#gid=602588258"", ""EQUIPOS!G4:523"") ,13,0)"),"#REF!")</f>
        <v>#REF!</v>
      </c>
      <c r="Z82" s="36" t="str">
        <f ca="1">IFERROR(__xludf.DUMMYFUNCTION("VLOOKUP($G426, IMPORTRANGE(""https://docs.google.com/spreadsheets/d/1m0XUyo6H-YHIwm-JawEbLnxdQgU4gDApt1rpXCJkbqs/edit?gid=602588258#gid=602588258"", ""EQUIPOS!G4:523"") ,14,0)"),"#REF!")</f>
        <v>#REF!</v>
      </c>
      <c r="AA82" s="36" t="str">
        <f ca="1">IFERROR(__xludf.DUMMYFUNCTION("VLOOKUP($G426, IMPORTRANGE(""https://docs.google.com/spreadsheets/d/1m0XUyo6H-YHIwm-JawEbLnxdQgU4gDApt1rpXCJkbqs/edit?gid=602588258#gid=602588258"", ""EQUIPOS!G4:523"") ,15,0)"),"#REF!")</f>
        <v>#REF!</v>
      </c>
      <c r="AB82" s="36" t="str">
        <f ca="1">IFERROR(__xludf.DUMMYFUNCTION("VLOOKUP($G426, IMPORTRANGE(""https://docs.google.com/spreadsheets/d/1m0XUyo6H-YHIwm-JawEbLnxdQgU4gDApt1rpXCJkbqs/edit?gid=602588258#gid=602588258"", ""EQUIPOS!G4:523"") ,16,0)"),"#REF!")</f>
        <v>#REF!</v>
      </c>
      <c r="AC82" s="7"/>
    </row>
    <row r="83" spans="1:29" ht="42" customHeight="1">
      <c r="A83" s="7"/>
      <c r="B83" s="26">
        <v>422</v>
      </c>
      <c r="C83" s="41" t="b">
        <v>1</v>
      </c>
      <c r="D83" s="71" t="s">
        <v>58</v>
      </c>
      <c r="E83" s="41" t="s">
        <v>270</v>
      </c>
      <c r="F83" s="41" t="s">
        <v>604</v>
      </c>
      <c r="G83" s="41" t="s">
        <v>605</v>
      </c>
      <c r="H83" s="50" t="s">
        <v>606</v>
      </c>
      <c r="I83" s="27" t="s">
        <v>22</v>
      </c>
      <c r="J83" s="29">
        <v>8</v>
      </c>
      <c r="K83" s="30" t="s">
        <v>39</v>
      </c>
      <c r="L83" s="31" t="s">
        <v>607</v>
      </c>
      <c r="M83" s="32" t="s">
        <v>608</v>
      </c>
      <c r="N83" s="33" t="s">
        <v>609</v>
      </c>
      <c r="O83" s="33" t="s">
        <v>610</v>
      </c>
      <c r="P83" s="34" t="s">
        <v>611</v>
      </c>
      <c r="Q83" s="33" t="b">
        <v>0</v>
      </c>
      <c r="R83" s="33" t="s">
        <v>41</v>
      </c>
      <c r="S83" s="27" t="s">
        <v>42</v>
      </c>
      <c r="T83" s="46" t="s">
        <v>612</v>
      </c>
      <c r="U83" s="31" t="s">
        <v>67</v>
      </c>
      <c r="V83" s="27"/>
      <c r="W83" s="27"/>
      <c r="X83" s="34" t="s">
        <v>54</v>
      </c>
      <c r="Y83" s="36" t="str">
        <f ca="1">IFERROR(__xludf.DUMMYFUNCTION("VLOOKUP($G427, IMPORTRANGE(""https://docs.google.com/spreadsheets/d/1m0XUyo6H-YHIwm-JawEbLnxdQgU4gDApt1rpXCJkbqs/edit?gid=602588258#gid=602588258"", ""EQUIPOS!G4:523"") ,13,0)"),"#REF!")</f>
        <v>#REF!</v>
      </c>
      <c r="Z83" s="36" t="str">
        <f ca="1">IFERROR(__xludf.DUMMYFUNCTION("VLOOKUP($G427, IMPORTRANGE(""https://docs.google.com/spreadsheets/d/1m0XUyo6H-YHIwm-JawEbLnxdQgU4gDApt1rpXCJkbqs/edit?gid=602588258#gid=602588258"", ""EQUIPOS!G4:523"") ,14,0)"),"#REF!")</f>
        <v>#REF!</v>
      </c>
      <c r="AA83" s="36" t="str">
        <f ca="1">IFERROR(__xludf.DUMMYFUNCTION("VLOOKUP($G427, IMPORTRANGE(""https://docs.google.com/spreadsheets/d/1m0XUyo6H-YHIwm-JawEbLnxdQgU4gDApt1rpXCJkbqs/edit?gid=602588258#gid=602588258"", ""EQUIPOS!G4:523"") ,15,0)"),"#REF!")</f>
        <v>#REF!</v>
      </c>
      <c r="AB83" s="36" t="str">
        <f ca="1">IFERROR(__xludf.DUMMYFUNCTION("VLOOKUP($G427, IMPORTRANGE(""https://docs.google.com/spreadsheets/d/1m0XUyo6H-YHIwm-JawEbLnxdQgU4gDApt1rpXCJkbqs/edit?gid=602588258#gid=602588258"", ""EQUIPOS!G4:523"") ,16,0)"),"#REF!")</f>
        <v>#REF!</v>
      </c>
      <c r="AC83" s="7"/>
    </row>
    <row r="84" spans="1:29" ht="42" customHeight="1">
      <c r="A84" s="7"/>
      <c r="B84" s="26">
        <v>426</v>
      </c>
      <c r="C84" s="27" t="b">
        <v>1</v>
      </c>
      <c r="D84" s="70" t="s">
        <v>58</v>
      </c>
      <c r="E84" s="27" t="s">
        <v>270</v>
      </c>
      <c r="F84" s="27" t="s">
        <v>613</v>
      </c>
      <c r="G84" s="27" t="s">
        <v>613</v>
      </c>
      <c r="H84" s="28" t="s">
        <v>614</v>
      </c>
      <c r="I84" s="27" t="s">
        <v>22</v>
      </c>
      <c r="J84" s="29">
        <v>35</v>
      </c>
      <c r="K84" s="30" t="s">
        <v>39</v>
      </c>
      <c r="L84" s="31" t="s">
        <v>615</v>
      </c>
      <c r="M84" s="32" t="s">
        <v>40</v>
      </c>
      <c r="N84" s="33" t="s">
        <v>69</v>
      </c>
      <c r="O84" s="33" t="s">
        <v>616</v>
      </c>
      <c r="P84" s="34" t="s">
        <v>617</v>
      </c>
      <c r="Q84" s="33" t="b">
        <v>0</v>
      </c>
      <c r="R84" s="33" t="s">
        <v>41</v>
      </c>
      <c r="S84" s="16" t="s">
        <v>42</v>
      </c>
      <c r="T84" s="34" t="s">
        <v>618</v>
      </c>
      <c r="U84" s="31" t="s">
        <v>50</v>
      </c>
      <c r="V84" s="27"/>
      <c r="W84" s="27"/>
      <c r="X84" s="68" t="s">
        <v>189</v>
      </c>
      <c r="Y84" s="36" t="str">
        <f ca="1">IFERROR(__xludf.DUMMYFUNCTION("VLOOKUP($G431, IMPORTRANGE(""https://docs.google.com/spreadsheets/d/1m0XUyo6H-YHIwm-JawEbLnxdQgU4gDApt1rpXCJkbqs/edit?gid=602588258#gid=602588258"", ""EQUIPOS!G4:523"") ,13,0)"),"#REF!")</f>
        <v>#REF!</v>
      </c>
      <c r="Z84" s="36" t="str">
        <f ca="1">IFERROR(__xludf.DUMMYFUNCTION("VLOOKUP($G431, IMPORTRANGE(""https://docs.google.com/spreadsheets/d/1m0XUyo6H-YHIwm-JawEbLnxdQgU4gDApt1rpXCJkbqs/edit?gid=602588258#gid=602588258"", ""EQUIPOS!G4:523"") ,14,0)"),"#REF!")</f>
        <v>#REF!</v>
      </c>
      <c r="AA84" s="36" t="str">
        <f ca="1">IFERROR(__xludf.DUMMYFUNCTION("VLOOKUP($G431, IMPORTRANGE(""https://docs.google.com/spreadsheets/d/1m0XUyo6H-YHIwm-JawEbLnxdQgU4gDApt1rpXCJkbqs/edit?gid=602588258#gid=602588258"", ""EQUIPOS!G4:523"") ,15,0)"),"#REF!")</f>
        <v>#REF!</v>
      </c>
      <c r="AB84" s="36" t="str">
        <f ca="1">IFERROR(__xludf.DUMMYFUNCTION("VLOOKUP($G431, IMPORTRANGE(""https://docs.google.com/spreadsheets/d/1m0XUyo6H-YHIwm-JawEbLnxdQgU4gDApt1rpXCJkbqs/edit?gid=602588258#gid=602588258"", ""EQUIPOS!G4:523"") ,16,0)"),"#REF!")</f>
        <v>#REF!</v>
      </c>
      <c r="AC84" s="7"/>
    </row>
    <row r="85" spans="1:29" ht="42" customHeight="1">
      <c r="A85" s="7"/>
      <c r="B85" s="26">
        <v>428</v>
      </c>
      <c r="C85" s="27" t="b">
        <v>1</v>
      </c>
      <c r="D85" s="70" t="s">
        <v>58</v>
      </c>
      <c r="E85" s="27" t="s">
        <v>270</v>
      </c>
      <c r="F85" s="27" t="s">
        <v>619</v>
      </c>
      <c r="G85" s="27" t="s">
        <v>619</v>
      </c>
      <c r="H85" s="28" t="s">
        <v>620</v>
      </c>
      <c r="I85" s="27" t="s">
        <v>22</v>
      </c>
      <c r="J85" s="29">
        <v>24</v>
      </c>
      <c r="K85" s="30" t="s">
        <v>39</v>
      </c>
      <c r="L85" s="31" t="s">
        <v>621</v>
      </c>
      <c r="M85" s="32" t="s">
        <v>622</v>
      </c>
      <c r="N85" s="33" t="s">
        <v>623</v>
      </c>
      <c r="O85" s="33" t="s">
        <v>624</v>
      </c>
      <c r="P85" s="34" t="s">
        <v>625</v>
      </c>
      <c r="Q85" s="33" t="b">
        <v>0</v>
      </c>
      <c r="R85" s="33" t="s">
        <v>41</v>
      </c>
      <c r="S85" s="16" t="s">
        <v>42</v>
      </c>
      <c r="T85" s="34" t="s">
        <v>626</v>
      </c>
      <c r="U85" s="31" t="s">
        <v>67</v>
      </c>
      <c r="V85" s="27"/>
      <c r="W85" s="27"/>
      <c r="X85" s="68" t="s">
        <v>189</v>
      </c>
      <c r="Y85" s="36" t="str">
        <f ca="1">IFERROR(__xludf.DUMMYFUNCTION("VLOOKUP($G433, IMPORTRANGE(""https://docs.google.com/spreadsheets/d/1m0XUyo6H-YHIwm-JawEbLnxdQgU4gDApt1rpXCJkbqs/edit?gid=602588258#gid=602588258"", ""EQUIPOS!G4:523"") ,13,0)"),"#REF!")</f>
        <v>#REF!</v>
      </c>
      <c r="Z85" s="36" t="str">
        <f ca="1">IFERROR(__xludf.DUMMYFUNCTION("VLOOKUP($G433, IMPORTRANGE(""https://docs.google.com/spreadsheets/d/1m0XUyo6H-YHIwm-JawEbLnxdQgU4gDApt1rpXCJkbqs/edit?gid=602588258#gid=602588258"", ""EQUIPOS!G4:523"") ,14,0)"),"#REF!")</f>
        <v>#REF!</v>
      </c>
      <c r="AA85" s="36" t="str">
        <f ca="1">IFERROR(__xludf.DUMMYFUNCTION("VLOOKUP($G433, IMPORTRANGE(""https://docs.google.com/spreadsheets/d/1m0XUyo6H-YHIwm-JawEbLnxdQgU4gDApt1rpXCJkbqs/edit?gid=602588258#gid=602588258"", ""EQUIPOS!G4:523"") ,15,0)"),"#REF!")</f>
        <v>#REF!</v>
      </c>
      <c r="AB85" s="36" t="str">
        <f ca="1">IFERROR(__xludf.DUMMYFUNCTION("VLOOKUP($G433, IMPORTRANGE(""https://docs.google.com/spreadsheets/d/1m0XUyo6H-YHIwm-JawEbLnxdQgU4gDApt1rpXCJkbqs/edit?gid=602588258#gid=602588258"", ""EQUIPOS!G4:523"") ,16,0)"),"#REF!")</f>
        <v>#REF!</v>
      </c>
      <c r="AC85" s="7"/>
    </row>
    <row r="86" spans="1:29" ht="42" customHeight="1">
      <c r="A86" s="7"/>
      <c r="B86" s="26">
        <v>429</v>
      </c>
      <c r="C86" s="27" t="b">
        <v>1</v>
      </c>
      <c r="D86" s="70" t="s">
        <v>58</v>
      </c>
      <c r="E86" s="27" t="s">
        <v>270</v>
      </c>
      <c r="F86" s="27" t="s">
        <v>627</v>
      </c>
      <c r="G86" s="27" t="s">
        <v>627</v>
      </c>
      <c r="H86" s="28" t="s">
        <v>628</v>
      </c>
      <c r="I86" s="27" t="s">
        <v>22</v>
      </c>
      <c r="J86" s="29">
        <v>8</v>
      </c>
      <c r="K86" s="30" t="s">
        <v>39</v>
      </c>
      <c r="L86" s="31" t="s">
        <v>629</v>
      </c>
      <c r="M86" s="32"/>
      <c r="N86" s="33" t="s">
        <v>69</v>
      </c>
      <c r="O86" s="33" t="s">
        <v>630</v>
      </c>
      <c r="P86" s="34" t="s">
        <v>631</v>
      </c>
      <c r="Q86" s="33" t="b">
        <v>0</v>
      </c>
      <c r="R86" s="33" t="s">
        <v>41</v>
      </c>
      <c r="S86" s="16" t="s">
        <v>42</v>
      </c>
      <c r="T86" s="34" t="s">
        <v>632</v>
      </c>
      <c r="U86" s="31" t="s">
        <v>67</v>
      </c>
      <c r="V86" s="27"/>
      <c r="W86" s="27"/>
      <c r="X86" s="34" t="s">
        <v>57</v>
      </c>
      <c r="Y86" s="36" t="str">
        <f ca="1">IFERROR(__xludf.DUMMYFUNCTION("VLOOKUP($G434, IMPORTRANGE(""https://docs.google.com/spreadsheets/d/1m0XUyo6H-YHIwm-JawEbLnxdQgU4gDApt1rpXCJkbqs/edit?gid=602588258#gid=602588258"", ""EQUIPOS!G4:523"") ,13,0)"),"#REF!")</f>
        <v>#REF!</v>
      </c>
      <c r="Z86" s="36" t="str">
        <f ca="1">IFERROR(__xludf.DUMMYFUNCTION("VLOOKUP($G434, IMPORTRANGE(""https://docs.google.com/spreadsheets/d/1m0XUyo6H-YHIwm-JawEbLnxdQgU4gDApt1rpXCJkbqs/edit?gid=602588258#gid=602588258"", ""EQUIPOS!G4:523"") ,14,0)"),"#REF!")</f>
        <v>#REF!</v>
      </c>
      <c r="AA86" s="36" t="str">
        <f ca="1">IFERROR(__xludf.DUMMYFUNCTION("VLOOKUP($G434, IMPORTRANGE(""https://docs.google.com/spreadsheets/d/1m0XUyo6H-YHIwm-JawEbLnxdQgU4gDApt1rpXCJkbqs/edit?gid=602588258#gid=602588258"", ""EQUIPOS!G4:523"") ,15,0)"),"#REF!")</f>
        <v>#REF!</v>
      </c>
      <c r="AB86" s="36" t="str">
        <f ca="1">IFERROR(__xludf.DUMMYFUNCTION("VLOOKUP($G434, IMPORTRANGE(""https://docs.google.com/spreadsheets/d/1m0XUyo6H-YHIwm-JawEbLnxdQgU4gDApt1rpXCJkbqs/edit?gid=602588258#gid=602588258"", ""EQUIPOS!G4:523"") ,16,0)"),"#REF!")</f>
        <v>#REF!</v>
      </c>
      <c r="AC86" s="40"/>
    </row>
    <row r="87" spans="1:29" ht="42" customHeight="1">
      <c r="A87" s="7"/>
      <c r="B87" s="26">
        <v>448</v>
      </c>
      <c r="C87" s="27" t="b">
        <v>1</v>
      </c>
      <c r="D87" s="70" t="s">
        <v>58</v>
      </c>
      <c r="E87" s="27" t="s">
        <v>270</v>
      </c>
      <c r="F87" s="27" t="s">
        <v>633</v>
      </c>
      <c r="G87" s="27" t="s">
        <v>634</v>
      </c>
      <c r="H87" s="28" t="s">
        <v>635</v>
      </c>
      <c r="I87" s="27" t="s">
        <v>22</v>
      </c>
      <c r="J87" s="29">
        <v>23</v>
      </c>
      <c r="K87" s="30" t="s">
        <v>39</v>
      </c>
      <c r="L87" s="31" t="s">
        <v>636</v>
      </c>
      <c r="M87" s="32" t="s">
        <v>40</v>
      </c>
      <c r="N87" s="33" t="s">
        <v>637</v>
      </c>
      <c r="O87" s="33" t="s">
        <v>137</v>
      </c>
      <c r="P87" s="27" t="s">
        <v>312</v>
      </c>
      <c r="Q87" s="33" t="b">
        <v>0</v>
      </c>
      <c r="R87" s="33" t="s">
        <v>41</v>
      </c>
      <c r="S87" s="35" t="s">
        <v>42</v>
      </c>
      <c r="T87" s="34" t="s">
        <v>638</v>
      </c>
      <c r="U87" s="31" t="s">
        <v>45</v>
      </c>
      <c r="V87" s="32" t="s">
        <v>40</v>
      </c>
      <c r="W87" s="32" t="s">
        <v>40</v>
      </c>
      <c r="X87" s="34" t="s">
        <v>51</v>
      </c>
      <c r="Y87" s="36" t="str">
        <f ca="1">IFERROR(__xludf.DUMMYFUNCTION("VLOOKUP($G453, IMPORTRANGE(""https://docs.google.com/spreadsheets/d/1m0XUyo6H-YHIwm-JawEbLnxdQgU4gDApt1rpXCJkbqs/edit?gid=602588258#gid=602588258"", ""EQUIPOS!G4:523"") ,13,0)"),"#REF!")</f>
        <v>#REF!</v>
      </c>
      <c r="Z87" s="36" t="str">
        <f ca="1">IFERROR(__xludf.DUMMYFUNCTION("VLOOKUP($G453, IMPORTRANGE(""https://docs.google.com/spreadsheets/d/1m0XUyo6H-YHIwm-JawEbLnxdQgU4gDApt1rpXCJkbqs/edit?gid=602588258#gid=602588258"", ""EQUIPOS!G4:523"") ,14,0)"),"#REF!")</f>
        <v>#REF!</v>
      </c>
      <c r="AA87" s="36" t="str">
        <f ca="1">IFERROR(__xludf.DUMMYFUNCTION("VLOOKUP($G453, IMPORTRANGE(""https://docs.google.com/spreadsheets/d/1m0XUyo6H-YHIwm-JawEbLnxdQgU4gDApt1rpXCJkbqs/edit?gid=602588258#gid=602588258"", ""EQUIPOS!G4:523"") ,15,0)"),"#REF!")</f>
        <v>#REF!</v>
      </c>
      <c r="AB87" s="36" t="str">
        <f ca="1">IFERROR(__xludf.DUMMYFUNCTION("VLOOKUP($G453, IMPORTRANGE(""https://docs.google.com/spreadsheets/d/1m0XUyo6H-YHIwm-JawEbLnxdQgU4gDApt1rpXCJkbqs/edit?gid=602588258#gid=602588258"", ""EQUIPOS!G4:523"") ,16,0)"),"#REF!")</f>
        <v>#REF!</v>
      </c>
      <c r="AC87" s="7"/>
    </row>
    <row r="88" spans="1:29" ht="54.75" customHeight="1">
      <c r="A88" s="7"/>
      <c r="B88" s="26">
        <v>453</v>
      </c>
      <c r="C88" s="16" t="b">
        <v>1</v>
      </c>
      <c r="D88" s="70" t="s">
        <v>58</v>
      </c>
      <c r="E88" s="27" t="s">
        <v>270</v>
      </c>
      <c r="F88" s="27" t="s">
        <v>639</v>
      </c>
      <c r="G88" s="27" t="s">
        <v>639</v>
      </c>
      <c r="H88" s="28" t="s">
        <v>640</v>
      </c>
      <c r="I88" s="27" t="s">
        <v>22</v>
      </c>
      <c r="J88" s="29">
        <v>8</v>
      </c>
      <c r="K88" s="30" t="s">
        <v>39</v>
      </c>
      <c r="L88" s="39" t="s">
        <v>641</v>
      </c>
      <c r="M88" s="32" t="s">
        <v>40</v>
      </c>
      <c r="N88" s="33" t="s">
        <v>642</v>
      </c>
      <c r="O88" s="33" t="s">
        <v>643</v>
      </c>
      <c r="P88" s="62" t="s">
        <v>644</v>
      </c>
      <c r="Q88" s="33" t="b">
        <v>0</v>
      </c>
      <c r="R88" s="33" t="s">
        <v>41</v>
      </c>
      <c r="S88" s="35" t="s">
        <v>42</v>
      </c>
      <c r="T88" s="64" t="s">
        <v>645</v>
      </c>
      <c r="U88" s="31" t="s">
        <v>67</v>
      </c>
      <c r="V88" s="45"/>
      <c r="W88" s="27"/>
      <c r="X88" s="34" t="s">
        <v>46</v>
      </c>
      <c r="Y88" s="36" t="str">
        <f ca="1">IFERROR(__xludf.DUMMYFUNCTION("VLOOKUP($G458, IMPORTRANGE(""https://docs.google.com/spreadsheets/d/1m0XUyo6H-YHIwm-JawEbLnxdQgU4gDApt1rpXCJkbqs/edit?gid=602588258#gid=602588258"", ""HERRAMIENTAS!G4:523"") ,13,0)"),"#REF!")</f>
        <v>#REF!</v>
      </c>
      <c r="Z88" s="36" t="str">
        <f ca="1">IFERROR(__xludf.DUMMYFUNCTION("VLOOKUP($G458, IMPORTRANGE(""https://docs.google.com/spreadsheets/d/1m0XUyo6H-YHIwm-JawEbLnxdQgU4gDApt1rpXCJkbqs/edit?gid=602588258#gid=602588258"", ""HERRAMIENTAS!G4:523"") ,14,0)"),"#REF!")</f>
        <v>#REF!</v>
      </c>
      <c r="AA88" s="36" t="str">
        <f ca="1">IFERROR(__xludf.DUMMYFUNCTION("VLOOKUP($G458, IMPORTRANGE(""https://docs.google.com/spreadsheets/d/1m0XUyo6H-YHIwm-JawEbLnxdQgU4gDApt1rpXCJkbqs/edit?gid=602588258#gid=602588258"", ""HERRAMIENTAS!G4:523"") ,15,0)"),"#REF!")</f>
        <v>#REF!</v>
      </c>
      <c r="AB88" s="36" t="str">
        <f ca="1">IFERROR(__xludf.DUMMYFUNCTION("VLOOKUP($G458, IMPORTRANGE(""https://docs.google.com/spreadsheets/d/1m0XUyo6H-YHIwm-JawEbLnxdQgU4gDApt1rpXCJkbqs/edit?gid=602588258#gid=602588258"", ""HERRAMIENTAS!G4:523"") ,16,0)"),"#REF!")</f>
        <v>#REF!</v>
      </c>
      <c r="AC88" s="7"/>
    </row>
    <row r="89" spans="1:29" ht="42" customHeight="1">
      <c r="A89" s="7"/>
      <c r="B89" s="26">
        <v>454</v>
      </c>
      <c r="C89" s="27" t="b">
        <v>1</v>
      </c>
      <c r="D89" s="70" t="s">
        <v>58</v>
      </c>
      <c r="E89" s="27" t="s">
        <v>270</v>
      </c>
      <c r="F89" s="27" t="s">
        <v>646</v>
      </c>
      <c r="G89" s="27" t="s">
        <v>646</v>
      </c>
      <c r="H89" s="28" t="s">
        <v>647</v>
      </c>
      <c r="I89" s="27" t="s">
        <v>22</v>
      </c>
      <c r="J89" s="29">
        <v>8</v>
      </c>
      <c r="K89" s="30" t="s">
        <v>39</v>
      </c>
      <c r="L89" s="31" t="s">
        <v>648</v>
      </c>
      <c r="M89" s="32" t="s">
        <v>40</v>
      </c>
      <c r="N89" s="33" t="s">
        <v>649</v>
      </c>
      <c r="O89" s="33" t="s">
        <v>649</v>
      </c>
      <c r="P89" s="34" t="s">
        <v>650</v>
      </c>
      <c r="Q89" s="33" t="b">
        <v>0</v>
      </c>
      <c r="R89" s="33" t="s">
        <v>41</v>
      </c>
      <c r="S89" s="16" t="s">
        <v>42</v>
      </c>
      <c r="T89" s="34" t="s">
        <v>651</v>
      </c>
      <c r="U89" s="31" t="s">
        <v>67</v>
      </c>
      <c r="V89" s="45"/>
      <c r="W89" s="27"/>
      <c r="X89" s="68" t="s">
        <v>189</v>
      </c>
      <c r="Y89" s="36" t="str">
        <f ca="1">IFERROR(__xludf.DUMMYFUNCTION("VLOOKUP($G459, IMPORTRANGE(""https://docs.google.com/spreadsheets/d/1m0XUyo6H-YHIwm-JawEbLnxdQgU4gDApt1rpXCJkbqs/edit?gid=602588258#gid=602588258"", ""EQUIPOS!G4:523"") ,13,0)"),"#REF!")</f>
        <v>#REF!</v>
      </c>
      <c r="Z89" s="36" t="str">
        <f ca="1">IFERROR(__xludf.DUMMYFUNCTION("VLOOKUP($G459, IMPORTRANGE(""https://docs.google.com/spreadsheets/d/1m0XUyo6H-YHIwm-JawEbLnxdQgU4gDApt1rpXCJkbqs/edit?gid=602588258#gid=602588258"", ""EQUIPOS!G4:523"") ,14,0)"),"#REF!")</f>
        <v>#REF!</v>
      </c>
      <c r="AA89" s="36" t="str">
        <f ca="1">IFERROR(__xludf.DUMMYFUNCTION("VLOOKUP($G459, IMPORTRANGE(""https://docs.google.com/spreadsheets/d/1m0XUyo6H-YHIwm-JawEbLnxdQgU4gDApt1rpXCJkbqs/edit?gid=602588258#gid=602588258"", ""EQUIPOS!G4:523"") ,15,0)"),"#REF!")</f>
        <v>#REF!</v>
      </c>
      <c r="AB89" s="36" t="str">
        <f ca="1">IFERROR(__xludf.DUMMYFUNCTION("VLOOKUP($G459, IMPORTRANGE(""https://docs.google.com/spreadsheets/d/1m0XUyo6H-YHIwm-JawEbLnxdQgU4gDApt1rpXCJkbqs/edit?gid=602588258#gid=602588258"", ""EQUIPOS!G4:523"") ,16,0)"),"#REF!")</f>
        <v>#REF!</v>
      </c>
      <c r="AC89" s="7"/>
    </row>
    <row r="90" spans="1:29" ht="42" customHeight="1">
      <c r="A90" s="7"/>
      <c r="B90" s="26">
        <v>471</v>
      </c>
      <c r="C90" s="27" t="b">
        <v>1</v>
      </c>
      <c r="D90" s="70" t="s">
        <v>58</v>
      </c>
      <c r="E90" s="27" t="s">
        <v>270</v>
      </c>
      <c r="F90" s="27" t="s">
        <v>652</v>
      </c>
      <c r="G90" s="27" t="s">
        <v>653</v>
      </c>
      <c r="H90" s="28" t="s">
        <v>654</v>
      </c>
      <c r="I90" s="27" t="s">
        <v>22</v>
      </c>
      <c r="J90" s="29">
        <v>8</v>
      </c>
      <c r="K90" s="30" t="s">
        <v>39</v>
      </c>
      <c r="L90" s="31" t="s">
        <v>655</v>
      </c>
      <c r="M90" s="32" t="s">
        <v>656</v>
      </c>
      <c r="N90" s="33" t="s">
        <v>657</v>
      </c>
      <c r="O90" s="33" t="s">
        <v>658</v>
      </c>
      <c r="P90" s="34" t="s">
        <v>659</v>
      </c>
      <c r="Q90" s="33" t="b">
        <v>0</v>
      </c>
      <c r="R90" s="33" t="s">
        <v>41</v>
      </c>
      <c r="S90" s="35" t="s">
        <v>42</v>
      </c>
      <c r="T90" s="34" t="s">
        <v>660</v>
      </c>
      <c r="U90" s="31" t="s">
        <v>67</v>
      </c>
      <c r="V90" s="45"/>
      <c r="W90" s="27"/>
      <c r="X90" s="34" t="s">
        <v>46</v>
      </c>
      <c r="Y90" s="36" t="str">
        <f ca="1">IFERROR(__xludf.DUMMYFUNCTION("VLOOKUP($G476, IMPORTRANGE(""https://docs.google.com/spreadsheets/d/1m0XUyo6H-YHIwm-JawEbLnxdQgU4gDApt1rpXCJkbqs/edit?gid=602588258#gid=602588258"", ""EQUIPOS!G4:523"") ,13,0)"),"#REF!")</f>
        <v>#REF!</v>
      </c>
      <c r="Z90" s="36" t="str">
        <f ca="1">IFERROR(__xludf.DUMMYFUNCTION("VLOOKUP($G476, IMPORTRANGE(""https://docs.google.com/spreadsheets/d/1m0XUyo6H-YHIwm-JawEbLnxdQgU4gDApt1rpXCJkbqs/edit?gid=602588258#gid=602588258"", ""EQUIPOS!G4:523"") ,14,0)"),"#REF!")</f>
        <v>#REF!</v>
      </c>
      <c r="AA90" s="36" t="str">
        <f ca="1">IFERROR(__xludf.DUMMYFUNCTION("VLOOKUP($G476, IMPORTRANGE(""https://docs.google.com/spreadsheets/d/1m0XUyo6H-YHIwm-JawEbLnxdQgU4gDApt1rpXCJkbqs/edit?gid=602588258#gid=602588258"", ""EQUIPOS!G4:523"") ,15,0)"),"#REF!")</f>
        <v>#REF!</v>
      </c>
      <c r="AB90" s="36" t="str">
        <f ca="1">IFERROR(__xludf.DUMMYFUNCTION("VLOOKUP($G476, IMPORTRANGE(""https://docs.google.com/spreadsheets/d/1m0XUyo6H-YHIwm-JawEbLnxdQgU4gDApt1rpXCJkbqs/edit?gid=602588258#gid=602588258"", ""EQUIPOS!G4:523"") ,16,0)"),"#REF!")</f>
        <v>#REF!</v>
      </c>
      <c r="AC90" s="7"/>
    </row>
    <row r="91" spans="1:29" ht="42" customHeight="1">
      <c r="A91" s="7"/>
      <c r="B91" s="26">
        <v>483</v>
      </c>
      <c r="C91" s="27" t="b">
        <v>1</v>
      </c>
      <c r="D91" s="70" t="s">
        <v>58</v>
      </c>
      <c r="E91" s="27" t="s">
        <v>270</v>
      </c>
      <c r="F91" s="27" t="s">
        <v>661</v>
      </c>
      <c r="G91" s="27" t="s">
        <v>661</v>
      </c>
      <c r="H91" s="28" t="s">
        <v>662</v>
      </c>
      <c r="I91" s="27" t="s">
        <v>22</v>
      </c>
      <c r="J91" s="29">
        <v>22</v>
      </c>
      <c r="K91" s="30" t="s">
        <v>39</v>
      </c>
      <c r="L91" s="31" t="s">
        <v>663</v>
      </c>
      <c r="M91" s="32"/>
      <c r="N91" s="33" t="s">
        <v>664</v>
      </c>
      <c r="O91" s="33" t="s">
        <v>665</v>
      </c>
      <c r="P91" s="34"/>
      <c r="Q91" s="33" t="b">
        <v>0</v>
      </c>
      <c r="R91" s="33" t="s">
        <v>41</v>
      </c>
      <c r="S91" s="16" t="s">
        <v>42</v>
      </c>
      <c r="T91" s="34" t="s">
        <v>666</v>
      </c>
      <c r="U91" s="31" t="s">
        <v>45</v>
      </c>
      <c r="V91" s="45"/>
      <c r="W91" s="27"/>
      <c r="X91" s="34" t="s">
        <v>46</v>
      </c>
      <c r="Y91" s="36" t="str">
        <f ca="1">IFERROR(__xludf.DUMMYFUNCTION("VLOOKUP($G488, IMPORTRANGE(""https://docs.google.com/spreadsheets/d/1m0XUyo6H-YHIwm-JawEbLnxdQgU4gDApt1rpXCJkbqs/edit?gid=602588258#gid=602588258"", ""EQUIPOS!G4:523"") ,13,0)"),"#REF!")</f>
        <v>#REF!</v>
      </c>
      <c r="Z91" s="36" t="str">
        <f ca="1">IFERROR(__xludf.DUMMYFUNCTION("VLOOKUP($G488, IMPORTRANGE(""https://docs.google.com/spreadsheets/d/1m0XUyo6H-YHIwm-JawEbLnxdQgU4gDApt1rpXCJkbqs/edit?gid=602588258#gid=602588258"", ""EQUIPOS!G4:523"") ,14,0)"),"#REF!")</f>
        <v>#REF!</v>
      </c>
      <c r="AA91" s="36" t="str">
        <f ca="1">IFERROR(__xludf.DUMMYFUNCTION("VLOOKUP($G488, IMPORTRANGE(""https://docs.google.com/spreadsheets/d/1m0XUyo6H-YHIwm-JawEbLnxdQgU4gDApt1rpXCJkbqs/edit?gid=602588258#gid=602588258"", ""EQUIPOS!G4:523"") ,15,0)"),"#REF!")</f>
        <v>#REF!</v>
      </c>
      <c r="AB91" s="36" t="str">
        <f ca="1">IFERROR(__xludf.DUMMYFUNCTION("VLOOKUP($G488, IMPORTRANGE(""https://docs.google.com/spreadsheets/d/1m0XUyo6H-YHIwm-JawEbLnxdQgU4gDApt1rpXCJkbqs/edit?gid=602588258#gid=602588258"", ""EQUIPOS!G4:523"") ,16,0)"),"#REF!")</f>
        <v>#REF!</v>
      </c>
      <c r="AC91" s="7"/>
    </row>
    <row r="92" spans="1:29" ht="42" customHeight="1">
      <c r="A92" s="7"/>
      <c r="B92" s="26">
        <v>485</v>
      </c>
      <c r="C92" s="27" t="b">
        <v>1</v>
      </c>
      <c r="D92" s="70" t="s">
        <v>58</v>
      </c>
      <c r="E92" s="27" t="s">
        <v>270</v>
      </c>
      <c r="F92" s="27" t="s">
        <v>667</v>
      </c>
      <c r="G92" s="27" t="s">
        <v>668</v>
      </c>
      <c r="H92" s="28" t="s">
        <v>669</v>
      </c>
      <c r="I92" s="27" t="s">
        <v>22</v>
      </c>
      <c r="J92" s="29">
        <v>24</v>
      </c>
      <c r="K92" s="30" t="s">
        <v>39</v>
      </c>
      <c r="L92" s="31" t="s">
        <v>670</v>
      </c>
      <c r="M92" s="32" t="s">
        <v>671</v>
      </c>
      <c r="N92" s="33" t="s">
        <v>672</v>
      </c>
      <c r="O92" s="33" t="s">
        <v>673</v>
      </c>
      <c r="P92" s="34"/>
      <c r="Q92" s="33" t="b">
        <v>0</v>
      </c>
      <c r="R92" s="33" t="s">
        <v>41</v>
      </c>
      <c r="S92" s="16" t="s">
        <v>41</v>
      </c>
      <c r="T92" s="55" t="s">
        <v>674</v>
      </c>
      <c r="U92" s="31" t="s">
        <v>45</v>
      </c>
      <c r="V92" s="45"/>
      <c r="W92" s="27"/>
      <c r="X92" s="34" t="s">
        <v>46</v>
      </c>
      <c r="Y92" s="36" t="str">
        <f ca="1">IFERROR(__xludf.DUMMYFUNCTION("VLOOKUP($G490, IMPORTRANGE(""https://docs.google.com/spreadsheets/d/1m0XUyo6H-YHIwm-JawEbLnxdQgU4gDApt1rpXCJkbqs/edit?gid=602588258#gid=602588258"", ""EQUIPOS!G4:523"") ,13,0)"),"#REF!")</f>
        <v>#REF!</v>
      </c>
      <c r="Z92" s="36" t="str">
        <f ca="1">IFERROR(__xludf.DUMMYFUNCTION("VLOOKUP($G490, IMPORTRANGE(""https://docs.google.com/spreadsheets/d/1m0XUyo6H-YHIwm-JawEbLnxdQgU4gDApt1rpXCJkbqs/edit?gid=602588258#gid=602588258"", ""EQUIPOS!G4:523"") ,14,0)"),"#REF!")</f>
        <v>#REF!</v>
      </c>
      <c r="AA92" s="36" t="str">
        <f ca="1">IFERROR(__xludf.DUMMYFUNCTION("VLOOKUP($G490, IMPORTRANGE(""https://docs.google.com/spreadsheets/d/1m0XUyo6H-YHIwm-JawEbLnxdQgU4gDApt1rpXCJkbqs/edit?gid=602588258#gid=602588258"", ""EQUIPOS!G4:523"") ,15,0)"),"#REF!")</f>
        <v>#REF!</v>
      </c>
      <c r="AB92" s="36" t="str">
        <f ca="1">IFERROR(__xludf.DUMMYFUNCTION("VLOOKUP($G490, IMPORTRANGE(""https://docs.google.com/spreadsheets/d/1m0XUyo6H-YHIwm-JawEbLnxdQgU4gDApt1rpXCJkbqs/edit?gid=602588258#gid=602588258"", ""EQUIPOS!G4:523"") ,16,0)"),"#REF!")</f>
        <v>#REF!</v>
      </c>
      <c r="AC92" s="7"/>
    </row>
    <row r="93" spans="1:29" ht="42" customHeight="1">
      <c r="A93" s="7"/>
      <c r="B93" s="26">
        <v>490</v>
      </c>
      <c r="C93" s="27" t="b">
        <v>1</v>
      </c>
      <c r="D93" s="70" t="s">
        <v>58</v>
      </c>
      <c r="E93" s="27" t="s">
        <v>270</v>
      </c>
      <c r="F93" s="27" t="s">
        <v>675</v>
      </c>
      <c r="G93" s="27" t="s">
        <v>675</v>
      </c>
      <c r="H93" s="28" t="s">
        <v>676</v>
      </c>
      <c r="I93" s="27" t="s">
        <v>22</v>
      </c>
      <c r="J93" s="29">
        <v>42</v>
      </c>
      <c r="K93" s="30" t="s">
        <v>39</v>
      </c>
      <c r="L93" s="31" t="s">
        <v>677</v>
      </c>
      <c r="M93" s="32" t="s">
        <v>40</v>
      </c>
      <c r="N93" s="33" t="s">
        <v>678</v>
      </c>
      <c r="O93" s="33" t="s">
        <v>679</v>
      </c>
      <c r="P93" s="54" t="s">
        <v>680</v>
      </c>
      <c r="Q93" s="33" t="b">
        <v>0</v>
      </c>
      <c r="R93" s="33" t="s">
        <v>41</v>
      </c>
      <c r="S93" s="16" t="s">
        <v>42</v>
      </c>
      <c r="T93" s="34" t="s">
        <v>681</v>
      </c>
      <c r="U93" s="31" t="s">
        <v>67</v>
      </c>
      <c r="V93" s="45"/>
      <c r="W93" s="27"/>
      <c r="X93" s="34" t="s">
        <v>54</v>
      </c>
      <c r="Y93" s="36" t="str">
        <f ca="1">IFERROR(__xludf.DUMMYFUNCTION("VLOOKUP($G495, IMPORTRANGE(""https://docs.google.com/spreadsheets/d/1m0XUyo6H-YHIwm-JawEbLnxdQgU4gDApt1rpXCJkbqs/edit?gid=602588258#gid=602588258"", ""EQUIPOS!G4:523"") ,13,0)"),"#REF!")</f>
        <v>#REF!</v>
      </c>
      <c r="Z93" s="36" t="str">
        <f ca="1">IFERROR(__xludf.DUMMYFUNCTION("VLOOKUP($G495, IMPORTRANGE(""https://docs.google.com/spreadsheets/d/1m0XUyo6H-YHIwm-JawEbLnxdQgU4gDApt1rpXCJkbqs/edit?gid=602588258#gid=602588258"", ""EQUIPOS!G4:523"") ,14,0)"),"#REF!")</f>
        <v>#REF!</v>
      </c>
      <c r="AA93" s="36" t="str">
        <f ca="1">IFERROR(__xludf.DUMMYFUNCTION("VLOOKUP($G495, IMPORTRANGE(""https://docs.google.com/spreadsheets/d/1m0XUyo6H-YHIwm-JawEbLnxdQgU4gDApt1rpXCJkbqs/edit?gid=602588258#gid=602588258"", ""EQUIPOS!G4:523"") ,15,0)"),"#REF!")</f>
        <v>#REF!</v>
      </c>
      <c r="AB93" s="36" t="str">
        <f ca="1">IFERROR(__xludf.DUMMYFUNCTION("VLOOKUP($G495, IMPORTRANGE(""https://docs.google.com/spreadsheets/d/1m0XUyo6H-YHIwm-JawEbLnxdQgU4gDApt1rpXCJkbqs/edit?gid=602588258#gid=602588258"", ""EQUIPOS!G4:523"") ,16,0)"),"#REF!")</f>
        <v>#REF!</v>
      </c>
      <c r="AC93" s="7"/>
    </row>
    <row r="94" spans="1:29" ht="42" customHeight="1">
      <c r="A94" s="7"/>
      <c r="B94" s="26">
        <v>499</v>
      </c>
      <c r="C94" s="27" t="b">
        <v>1</v>
      </c>
      <c r="D94" s="70" t="s">
        <v>58</v>
      </c>
      <c r="E94" s="27" t="s">
        <v>270</v>
      </c>
      <c r="F94" s="27" t="s">
        <v>682</v>
      </c>
      <c r="G94" s="27" t="s">
        <v>682</v>
      </c>
      <c r="H94" s="28" t="s">
        <v>683</v>
      </c>
      <c r="I94" s="27" t="s">
        <v>22</v>
      </c>
      <c r="J94" s="29">
        <v>16</v>
      </c>
      <c r="K94" s="30" t="s">
        <v>39</v>
      </c>
      <c r="L94" s="31" t="s">
        <v>684</v>
      </c>
      <c r="M94" s="32" t="s">
        <v>40</v>
      </c>
      <c r="N94" s="33" t="s">
        <v>685</v>
      </c>
      <c r="O94" s="33">
        <v>159992</v>
      </c>
      <c r="P94" s="34" t="s">
        <v>273</v>
      </c>
      <c r="Q94" s="33" t="b">
        <v>0</v>
      </c>
      <c r="R94" s="33" t="s">
        <v>41</v>
      </c>
      <c r="S94" s="35" t="s">
        <v>42</v>
      </c>
      <c r="T94" s="34" t="s">
        <v>686</v>
      </c>
      <c r="U94" s="31" t="s">
        <v>67</v>
      </c>
      <c r="V94" s="45"/>
      <c r="W94" s="27"/>
      <c r="X94" s="68" t="s">
        <v>189</v>
      </c>
      <c r="Y94" s="36" t="str">
        <f ca="1">IFERROR(__xludf.DUMMYFUNCTION("VLOOKUP($G504, IMPORTRANGE(""https://docs.google.com/spreadsheets/d/1m0XUyo6H-YHIwm-JawEbLnxdQgU4gDApt1rpXCJkbqs/edit?gid=602588258#gid=602588258"", ""EQUIPOS!G4:523"") ,13,0)"),"#REF!")</f>
        <v>#REF!</v>
      </c>
      <c r="Z94" s="36" t="str">
        <f ca="1">IFERROR(__xludf.DUMMYFUNCTION("VLOOKUP($G504, IMPORTRANGE(""https://docs.google.com/spreadsheets/d/1m0XUyo6H-YHIwm-JawEbLnxdQgU4gDApt1rpXCJkbqs/edit?gid=602588258#gid=602588258"", ""EQUIPOS!G4:523"") ,14,0)"),"#REF!")</f>
        <v>#REF!</v>
      </c>
      <c r="AA94" s="36" t="str">
        <f ca="1">IFERROR(__xludf.DUMMYFUNCTION("VLOOKUP($G504, IMPORTRANGE(""https://docs.google.com/spreadsheets/d/1m0XUyo6H-YHIwm-JawEbLnxdQgU4gDApt1rpXCJkbqs/edit?gid=602588258#gid=602588258"", ""EQUIPOS!G4:523"") ,15,0)"),"#REF!")</f>
        <v>#REF!</v>
      </c>
      <c r="AB94" s="36" t="str">
        <f ca="1">IFERROR(__xludf.DUMMYFUNCTION("VLOOKUP($G504, IMPORTRANGE(""https://docs.google.com/spreadsheets/d/1m0XUyo6H-YHIwm-JawEbLnxdQgU4gDApt1rpXCJkbqs/edit?gid=602588258#gid=602588258"", ""EQUIPOS!G4:523"") ,16,0)"),"#REF!")</f>
        <v>#REF!</v>
      </c>
      <c r="AC94" s="7"/>
    </row>
    <row r="95" spans="1:29" ht="42" customHeight="1">
      <c r="A95" s="7"/>
      <c r="B95" s="26">
        <v>501</v>
      </c>
      <c r="C95" s="27" t="b">
        <v>1</v>
      </c>
      <c r="D95" s="70" t="s">
        <v>58</v>
      </c>
      <c r="E95" s="27" t="s">
        <v>270</v>
      </c>
      <c r="F95" s="27" t="s">
        <v>687</v>
      </c>
      <c r="G95" s="27" t="s">
        <v>688</v>
      </c>
      <c r="H95" s="28" t="s">
        <v>689</v>
      </c>
      <c r="I95" s="27" t="s">
        <v>22</v>
      </c>
      <c r="J95" s="29">
        <v>42</v>
      </c>
      <c r="K95" s="30" t="s">
        <v>39</v>
      </c>
      <c r="L95" s="31" t="s">
        <v>690</v>
      </c>
      <c r="M95" s="32" t="s">
        <v>691</v>
      </c>
      <c r="N95" s="33" t="s">
        <v>692</v>
      </c>
      <c r="O95" s="33" t="s">
        <v>693</v>
      </c>
      <c r="P95" s="34" t="s">
        <v>694</v>
      </c>
      <c r="Q95" s="33" t="b">
        <v>0</v>
      </c>
      <c r="R95" s="33" t="s">
        <v>41</v>
      </c>
      <c r="S95" s="35" t="s">
        <v>42</v>
      </c>
      <c r="T95" s="34" t="s">
        <v>695</v>
      </c>
      <c r="U95" s="31" t="s">
        <v>67</v>
      </c>
      <c r="V95" s="45"/>
      <c r="W95" s="27"/>
      <c r="X95" s="34" t="s">
        <v>57</v>
      </c>
      <c r="Y95" s="36" t="str">
        <f ca="1">IFERROR(__xludf.DUMMYFUNCTION("VLOOKUP($G506, IMPORTRANGE(""https://docs.google.com/spreadsheets/d/1m0XUyo6H-YHIwm-JawEbLnxdQgU4gDApt1rpXCJkbqs/edit?gid=602588258#gid=602588258"", ""EQUIPOS!G4:523"") ,13,0)"),"#REF!")</f>
        <v>#REF!</v>
      </c>
      <c r="Z95" s="36" t="str">
        <f ca="1">IFERROR(__xludf.DUMMYFUNCTION("VLOOKUP($G506, IMPORTRANGE(""https://docs.google.com/spreadsheets/d/1m0XUyo6H-YHIwm-JawEbLnxdQgU4gDApt1rpXCJkbqs/edit?gid=602588258#gid=602588258"", ""EQUIPOS!G4:523"") ,14,0)"),"#REF!")</f>
        <v>#REF!</v>
      </c>
      <c r="AA95" s="36" t="str">
        <f ca="1">IFERROR(__xludf.DUMMYFUNCTION("VLOOKUP($G506, IMPORTRANGE(""https://docs.google.com/spreadsheets/d/1m0XUyo6H-YHIwm-JawEbLnxdQgU4gDApt1rpXCJkbqs/edit?gid=602588258#gid=602588258"", ""EQUIPOS!G4:523"") ,15,0)"),"#REF!")</f>
        <v>#REF!</v>
      </c>
      <c r="AB95" s="36" t="str">
        <f ca="1">IFERROR(__xludf.DUMMYFUNCTION("VLOOKUP($G506, IMPORTRANGE(""https://docs.google.com/spreadsheets/d/1m0XUyo6H-YHIwm-JawEbLnxdQgU4gDApt1rpXCJkbqs/edit?gid=602588258#gid=602588258"", ""EQUIPOS!G4:523"") ,16,0)"),"#REF!")</f>
        <v>#REF!</v>
      </c>
      <c r="AC95" s="40"/>
    </row>
    <row r="96" spans="1:29" ht="42" customHeight="1">
      <c r="A96" s="7"/>
      <c r="B96" s="26">
        <v>521</v>
      </c>
      <c r="C96" s="27" t="b">
        <v>1</v>
      </c>
      <c r="D96" s="70" t="s">
        <v>58</v>
      </c>
      <c r="E96" s="27" t="s">
        <v>270</v>
      </c>
      <c r="F96" s="27" t="s">
        <v>696</v>
      </c>
      <c r="G96" s="27" t="s">
        <v>696</v>
      </c>
      <c r="H96" s="28" t="s">
        <v>697</v>
      </c>
      <c r="I96" s="27" t="s">
        <v>22</v>
      </c>
      <c r="J96" s="29">
        <v>8</v>
      </c>
      <c r="K96" s="30" t="s">
        <v>39</v>
      </c>
      <c r="L96" s="31" t="s">
        <v>698</v>
      </c>
      <c r="M96" s="32"/>
      <c r="N96" s="33" t="s">
        <v>699</v>
      </c>
      <c r="O96" s="33" t="s">
        <v>700</v>
      </c>
      <c r="P96" s="62" t="s">
        <v>701</v>
      </c>
      <c r="Q96" s="33" t="b">
        <v>0</v>
      </c>
      <c r="R96" s="33" t="s">
        <v>41</v>
      </c>
      <c r="S96" s="16" t="s">
        <v>42</v>
      </c>
      <c r="T96" s="34" t="s">
        <v>702</v>
      </c>
      <c r="U96" s="31" t="s">
        <v>67</v>
      </c>
      <c r="V96" s="45"/>
      <c r="W96" s="27"/>
      <c r="X96" s="34" t="s">
        <v>46</v>
      </c>
      <c r="Y96" s="36" t="str">
        <f ca="1">IFERROR(__xludf.DUMMYFUNCTION("VLOOKUP($G526, IMPORTRANGE(""https://docs.google.com/spreadsheets/d/1m0XUyo6H-YHIwm-JawEbLnxdQgU4gDApt1rpXCJkbqs/edit?gid=602588258#gid=602588258"", ""EQUIPOS!G4:523"") ,13,0)"),"#REF!")</f>
        <v>#REF!</v>
      </c>
      <c r="Z96" s="36" t="str">
        <f ca="1">IFERROR(__xludf.DUMMYFUNCTION("VLOOKUP($G526, IMPORTRANGE(""https://docs.google.com/spreadsheets/d/1m0XUyo6H-YHIwm-JawEbLnxdQgU4gDApt1rpXCJkbqs/edit?gid=602588258#gid=602588258"", ""EQUIPOS!G4:523"") ,14,0)"),"#REF!")</f>
        <v>#REF!</v>
      </c>
      <c r="AA96" s="36" t="str">
        <f ca="1">IFERROR(__xludf.DUMMYFUNCTION("VLOOKUP($G526, IMPORTRANGE(""https://docs.google.com/spreadsheets/d/1m0XUyo6H-YHIwm-JawEbLnxdQgU4gDApt1rpXCJkbqs/edit?gid=602588258#gid=602588258"", ""EQUIPOS!G4:523"") ,15,0)"),"#REF!")</f>
        <v>#REF!</v>
      </c>
      <c r="AB96" s="36" t="str">
        <f ca="1">IFERROR(__xludf.DUMMYFUNCTION("VLOOKUP($G526, IMPORTRANGE(""https://docs.google.com/spreadsheets/d/1m0XUyo6H-YHIwm-JawEbLnxdQgU4gDApt1rpXCJkbqs/edit?gid=602588258#gid=602588258"", ""EQUIPOS!G4:523"") ,16,0)"),"#REF!")</f>
        <v>#REF!</v>
      </c>
      <c r="AC96" s="7"/>
    </row>
    <row r="97" spans="1:29" ht="42" customHeight="1">
      <c r="A97" s="7"/>
      <c r="B97" s="26">
        <v>527</v>
      </c>
      <c r="C97" s="27" t="b">
        <v>1</v>
      </c>
      <c r="D97" s="70" t="s">
        <v>58</v>
      </c>
      <c r="E97" s="27" t="s">
        <v>270</v>
      </c>
      <c r="F97" s="27" t="s">
        <v>703</v>
      </c>
      <c r="G97" s="27" t="s">
        <v>703</v>
      </c>
      <c r="H97" s="28" t="s">
        <v>704</v>
      </c>
      <c r="I97" s="27" t="s">
        <v>22</v>
      </c>
      <c r="J97" s="29">
        <v>16</v>
      </c>
      <c r="K97" s="30" t="s">
        <v>39</v>
      </c>
      <c r="L97" s="31" t="s">
        <v>705</v>
      </c>
      <c r="M97" s="32" t="s">
        <v>40</v>
      </c>
      <c r="N97" s="33" t="s">
        <v>706</v>
      </c>
      <c r="O97" s="33" t="s">
        <v>707</v>
      </c>
      <c r="P97" s="34" t="s">
        <v>708</v>
      </c>
      <c r="Q97" s="33" t="b">
        <v>0</v>
      </c>
      <c r="R97" s="33" t="s">
        <v>41</v>
      </c>
      <c r="S97" s="35" t="s">
        <v>42</v>
      </c>
      <c r="T97" s="34" t="s">
        <v>709</v>
      </c>
      <c r="U97" s="31" t="s">
        <v>67</v>
      </c>
      <c r="V97" s="45"/>
      <c r="W97" s="27"/>
      <c r="X97" s="34" t="s">
        <v>57</v>
      </c>
      <c r="Y97" s="36" t="str">
        <f ca="1">IFERROR(__xludf.DUMMYFUNCTION("VLOOKUP($G532, IMPORTRANGE(""https://docs.google.com/spreadsheets/d/1m0XUyo6H-YHIwm-JawEbLnxdQgU4gDApt1rpXCJkbqs/edit?gid=602588258#gid=602588258"", ""EQUIPOS!G4:523"") ,13,0)"),"#REF!")</f>
        <v>#REF!</v>
      </c>
      <c r="Z97" s="36" t="str">
        <f ca="1">IFERROR(__xludf.DUMMYFUNCTION("VLOOKUP($G532, IMPORTRANGE(""https://docs.google.com/spreadsheets/d/1m0XUyo6H-YHIwm-JawEbLnxdQgU4gDApt1rpXCJkbqs/edit?gid=602588258#gid=602588258"", ""EQUIPOS!G4:523"") ,14,0)"),"#REF!")</f>
        <v>#REF!</v>
      </c>
      <c r="AA97" s="36" t="str">
        <f ca="1">IFERROR(__xludf.DUMMYFUNCTION("VLOOKUP($G532, IMPORTRANGE(""https://docs.google.com/spreadsheets/d/1m0XUyo6H-YHIwm-JawEbLnxdQgU4gDApt1rpXCJkbqs/edit?gid=602588258#gid=602588258"", ""EQUIPOS!G4:523"") ,15,0)"),"#REF!")</f>
        <v>#REF!</v>
      </c>
      <c r="AB97" s="36" t="str">
        <f ca="1">IFERROR(__xludf.DUMMYFUNCTION("VLOOKUP($G532, IMPORTRANGE(""https://docs.google.com/spreadsheets/d/1m0XUyo6H-YHIwm-JawEbLnxdQgU4gDApt1rpXCJkbqs/edit?gid=602588258#gid=602588258"", ""EQUIPOS!G4:523"") ,16,0)"),"#REF!")</f>
        <v>#REF!</v>
      </c>
      <c r="AC97" s="40"/>
    </row>
    <row r="98" spans="1:29" ht="42" customHeight="1">
      <c r="A98" s="7"/>
      <c r="B98" s="26">
        <v>528</v>
      </c>
      <c r="C98" s="27" t="b">
        <v>1</v>
      </c>
      <c r="D98" s="70" t="s">
        <v>58</v>
      </c>
      <c r="E98" s="27" t="s">
        <v>270</v>
      </c>
      <c r="F98" s="27" t="s">
        <v>710</v>
      </c>
      <c r="G98" s="27" t="s">
        <v>710</v>
      </c>
      <c r="H98" s="28" t="s">
        <v>711</v>
      </c>
      <c r="I98" s="27" t="s">
        <v>22</v>
      </c>
      <c r="J98" s="29">
        <v>16</v>
      </c>
      <c r="K98" s="30" t="s">
        <v>39</v>
      </c>
      <c r="L98" s="31" t="s">
        <v>712</v>
      </c>
      <c r="M98" s="32" t="s">
        <v>40</v>
      </c>
      <c r="N98" s="33" t="s">
        <v>69</v>
      </c>
      <c r="O98" s="33">
        <v>14220</v>
      </c>
      <c r="P98" s="34" t="s">
        <v>713</v>
      </c>
      <c r="Q98" s="33" t="b">
        <v>0</v>
      </c>
      <c r="R98" s="33" t="s">
        <v>41</v>
      </c>
      <c r="S98" s="35" t="s">
        <v>42</v>
      </c>
      <c r="T98" s="34" t="s">
        <v>714</v>
      </c>
      <c r="U98" s="31" t="s">
        <v>67</v>
      </c>
      <c r="V98" s="45"/>
      <c r="W98" s="27"/>
      <c r="X98" s="34" t="s">
        <v>54</v>
      </c>
      <c r="Y98" s="36" t="str">
        <f ca="1">IFERROR(__xludf.DUMMYFUNCTION("VLOOKUP($G533, IMPORTRANGE(""https://docs.google.com/spreadsheets/d/1m0XUyo6H-YHIwm-JawEbLnxdQgU4gDApt1rpXCJkbqs/edit?gid=602588258#gid=602588258"", ""EQUIPOS!G4:523"") ,13,0)"),"#REF!")</f>
        <v>#REF!</v>
      </c>
      <c r="Z98" s="36" t="str">
        <f ca="1">IFERROR(__xludf.DUMMYFUNCTION("VLOOKUP($G533, IMPORTRANGE(""https://docs.google.com/spreadsheets/d/1m0XUyo6H-YHIwm-JawEbLnxdQgU4gDApt1rpXCJkbqs/edit?gid=602588258#gid=602588258"", ""EQUIPOS!G4:523"") ,14,0)"),"#REF!")</f>
        <v>#REF!</v>
      </c>
      <c r="AA98" s="36" t="str">
        <f ca="1">IFERROR(__xludf.DUMMYFUNCTION("VLOOKUP($G533, IMPORTRANGE(""https://docs.google.com/spreadsheets/d/1m0XUyo6H-YHIwm-JawEbLnxdQgU4gDApt1rpXCJkbqs/edit?gid=602588258#gid=602588258"", ""EQUIPOS!G4:523"") ,15,0)"),"#REF!")</f>
        <v>#REF!</v>
      </c>
      <c r="AB98" s="36" t="str">
        <f ca="1">IFERROR(__xludf.DUMMYFUNCTION("VLOOKUP($G533, IMPORTRANGE(""https://docs.google.com/spreadsheets/d/1m0XUyo6H-YHIwm-JawEbLnxdQgU4gDApt1rpXCJkbqs/edit?gid=602588258#gid=602588258"", ""EQUIPOS!G4:523"") ,16,0)"),"#REF!")</f>
        <v>#REF!</v>
      </c>
      <c r="AC98" s="7"/>
    </row>
    <row r="99" spans="1:29" ht="42" customHeight="1">
      <c r="A99" s="7"/>
      <c r="B99" s="26">
        <v>529</v>
      </c>
      <c r="C99" s="27" t="b">
        <v>1</v>
      </c>
      <c r="D99" s="70" t="s">
        <v>58</v>
      </c>
      <c r="E99" s="27" t="s">
        <v>270</v>
      </c>
      <c r="F99" s="27" t="s">
        <v>715</v>
      </c>
      <c r="G99" s="27" t="s">
        <v>716</v>
      </c>
      <c r="H99" s="28" t="s">
        <v>717</v>
      </c>
      <c r="I99" s="27" t="s">
        <v>22</v>
      </c>
      <c r="J99" s="29">
        <v>42</v>
      </c>
      <c r="K99" s="30" t="s">
        <v>39</v>
      </c>
      <c r="L99" s="31" t="s">
        <v>718</v>
      </c>
      <c r="M99" s="32" t="s">
        <v>40</v>
      </c>
      <c r="N99" s="33" t="s">
        <v>649</v>
      </c>
      <c r="O99" s="33" t="s">
        <v>719</v>
      </c>
      <c r="P99" s="34" t="s">
        <v>273</v>
      </c>
      <c r="Q99" s="33" t="b">
        <v>0</v>
      </c>
      <c r="R99" s="33" t="s">
        <v>41</v>
      </c>
      <c r="S99" s="35" t="s">
        <v>42</v>
      </c>
      <c r="T99" s="34" t="s">
        <v>720</v>
      </c>
      <c r="U99" s="31" t="s">
        <v>67</v>
      </c>
      <c r="W99" s="27"/>
      <c r="X99" s="34" t="s">
        <v>54</v>
      </c>
      <c r="Y99" s="36" t="str">
        <f ca="1">IFERROR(__xludf.DUMMYFUNCTION("VLOOKUP($G534, IMPORTRANGE(""https://docs.google.com/spreadsheets/d/1m0XUyo6H-YHIwm-JawEbLnxdQgU4gDApt1rpXCJkbqs/edit?gid=602588258#gid=602588258"", ""EQUIPOS!G4:523"") ,13,0)"),"#REF!")</f>
        <v>#REF!</v>
      </c>
      <c r="Z99" s="36" t="str">
        <f ca="1">IFERROR(__xludf.DUMMYFUNCTION("VLOOKUP($G534, IMPORTRANGE(""https://docs.google.com/spreadsheets/d/1m0XUyo6H-YHIwm-JawEbLnxdQgU4gDApt1rpXCJkbqs/edit?gid=602588258#gid=602588258"", ""EQUIPOS!G4:523"") ,14,0)"),"#REF!")</f>
        <v>#REF!</v>
      </c>
      <c r="AA99" s="36" t="str">
        <f ca="1">IFERROR(__xludf.DUMMYFUNCTION("VLOOKUP($G534, IMPORTRANGE(""https://docs.google.com/spreadsheets/d/1m0XUyo6H-YHIwm-JawEbLnxdQgU4gDApt1rpXCJkbqs/edit?gid=602588258#gid=602588258"", ""EQUIPOS!G4:523"") ,15,0)"),"#REF!")</f>
        <v>#REF!</v>
      </c>
      <c r="AB99" s="36" t="str">
        <f ca="1">IFERROR(__xludf.DUMMYFUNCTION("VLOOKUP($G534, IMPORTRANGE(""https://docs.google.com/spreadsheets/d/1m0XUyo6H-YHIwm-JawEbLnxdQgU4gDApt1rpXCJkbqs/edit?gid=602588258#gid=602588258"", ""EQUIPOS!G4:523"") ,16,0)"),"#REF!")</f>
        <v>#REF!</v>
      </c>
      <c r="AC99" s="7"/>
    </row>
    <row r="100" spans="1:29" ht="42" customHeight="1">
      <c r="A100" s="7"/>
      <c r="B100" s="26">
        <v>532</v>
      </c>
      <c r="C100" s="27" t="b">
        <v>1</v>
      </c>
      <c r="D100" s="70" t="s">
        <v>58</v>
      </c>
      <c r="E100" s="27" t="s">
        <v>270</v>
      </c>
      <c r="F100" s="27" t="s">
        <v>721</v>
      </c>
      <c r="G100" s="27" t="s">
        <v>721</v>
      </c>
      <c r="H100" s="28" t="s">
        <v>722</v>
      </c>
      <c r="I100" s="27" t="s">
        <v>22</v>
      </c>
      <c r="J100" s="29">
        <v>16</v>
      </c>
      <c r="K100" s="30" t="s">
        <v>39</v>
      </c>
      <c r="L100" s="61" t="s">
        <v>723</v>
      </c>
      <c r="M100" s="32" t="s">
        <v>40</v>
      </c>
      <c r="N100" s="56" t="s">
        <v>706</v>
      </c>
      <c r="O100" s="33" t="s">
        <v>724</v>
      </c>
      <c r="P100" s="34" t="s">
        <v>725</v>
      </c>
      <c r="Q100" s="33" t="b">
        <v>0</v>
      </c>
      <c r="R100" s="33" t="s">
        <v>41</v>
      </c>
      <c r="S100" s="35" t="s">
        <v>42</v>
      </c>
      <c r="T100" s="34" t="s">
        <v>726</v>
      </c>
      <c r="U100" s="31" t="s">
        <v>67</v>
      </c>
      <c r="V100" s="45"/>
      <c r="W100" s="27"/>
      <c r="X100" s="68" t="s">
        <v>189</v>
      </c>
      <c r="Y100" s="36" t="str">
        <f ca="1">IFERROR(__xludf.DUMMYFUNCTION("VLOOKUP($G537, IMPORTRANGE(""https://docs.google.com/spreadsheets/d/1m0XUyo6H-YHIwm-JawEbLnxdQgU4gDApt1rpXCJkbqs/edit?gid=602588258#gid=602588258"", ""EQUIPOS!G4:523"") ,13,0)"),"#REF!")</f>
        <v>#REF!</v>
      </c>
      <c r="Z100" s="36" t="str">
        <f ca="1">IFERROR(__xludf.DUMMYFUNCTION("VLOOKUP($G537, IMPORTRANGE(""https://docs.google.com/spreadsheets/d/1m0XUyo6H-YHIwm-JawEbLnxdQgU4gDApt1rpXCJkbqs/edit?gid=602588258#gid=602588258"", ""EQUIPOS!G4:523"") ,14,0)"),"#REF!")</f>
        <v>#REF!</v>
      </c>
      <c r="AA100" s="36" t="str">
        <f ca="1">IFERROR(__xludf.DUMMYFUNCTION("VLOOKUP($G537, IMPORTRANGE(""https://docs.google.com/spreadsheets/d/1m0XUyo6H-YHIwm-JawEbLnxdQgU4gDApt1rpXCJkbqs/edit?gid=602588258#gid=602588258"", ""EQUIPOS!G4:523"") ,15,0)"),"#REF!")</f>
        <v>#REF!</v>
      </c>
      <c r="AB100" s="36" t="str">
        <f ca="1">IFERROR(__xludf.DUMMYFUNCTION("VLOOKUP($G537, IMPORTRANGE(""https://docs.google.com/spreadsheets/d/1m0XUyo6H-YHIwm-JawEbLnxdQgU4gDApt1rpXCJkbqs/edit?gid=602588258#gid=602588258"", ""EQUIPOS!G4:523"") ,16,0)"),"#REF!")</f>
        <v>#REF!</v>
      </c>
      <c r="AC100" s="7"/>
    </row>
    <row r="101" spans="1:29" ht="42" customHeight="1">
      <c r="A101" s="7"/>
      <c r="B101" s="26">
        <v>544</v>
      </c>
      <c r="C101" s="27" t="b">
        <v>1</v>
      </c>
      <c r="D101" s="70" t="s">
        <v>58</v>
      </c>
      <c r="E101" s="27" t="s">
        <v>270</v>
      </c>
      <c r="F101" s="27" t="s">
        <v>727</v>
      </c>
      <c r="G101" s="27" t="s">
        <v>727</v>
      </c>
      <c r="H101" s="28" t="s">
        <v>728</v>
      </c>
      <c r="I101" s="27" t="s">
        <v>22</v>
      </c>
      <c r="J101" s="29">
        <v>42</v>
      </c>
      <c r="K101" s="30" t="s">
        <v>39</v>
      </c>
      <c r="L101" s="31" t="s">
        <v>729</v>
      </c>
      <c r="M101" s="32" t="s">
        <v>40</v>
      </c>
      <c r="N101" s="33" t="s">
        <v>730</v>
      </c>
      <c r="O101" s="33" t="s">
        <v>731</v>
      </c>
      <c r="P101" s="34" t="s">
        <v>732</v>
      </c>
      <c r="Q101" s="33" t="b">
        <v>0</v>
      </c>
      <c r="R101" s="33" t="s">
        <v>41</v>
      </c>
      <c r="S101" s="16" t="s">
        <v>42</v>
      </c>
      <c r="T101" s="34" t="s">
        <v>733</v>
      </c>
      <c r="U101" s="31" t="s">
        <v>67</v>
      </c>
      <c r="V101" s="45"/>
      <c r="W101" s="27"/>
      <c r="X101" s="34" t="s">
        <v>452</v>
      </c>
      <c r="Y101" s="36" t="str">
        <f ca="1">IFERROR(__xludf.DUMMYFUNCTION("VLOOKUP($G549, IMPORTRANGE(""https://docs.google.com/spreadsheets/d/1m0XUyo6H-YHIwm-JawEbLnxdQgU4gDApt1rpXCJkbqs/edit?gid=602588258#gid=602588258"", ""EQUIPOS!G4:523"") ,13,0)"),"#REF!")</f>
        <v>#REF!</v>
      </c>
      <c r="Z101" s="36" t="str">
        <f ca="1">IFERROR(__xludf.DUMMYFUNCTION("VLOOKUP($G549, IMPORTRANGE(""https://docs.google.com/spreadsheets/d/1m0XUyo6H-YHIwm-JawEbLnxdQgU4gDApt1rpXCJkbqs/edit?gid=602588258#gid=602588258"", ""EQUIPOS!G4:523"") ,14,0)"),"#REF!")</f>
        <v>#REF!</v>
      </c>
      <c r="AA101" s="36" t="str">
        <f ca="1">IFERROR(__xludf.DUMMYFUNCTION("VLOOKUP($G549, IMPORTRANGE(""https://docs.google.com/spreadsheets/d/1m0XUyo6H-YHIwm-JawEbLnxdQgU4gDApt1rpXCJkbqs/edit?gid=602588258#gid=602588258"", ""EQUIPOS!G4:523"") ,15,0)"),"#REF!")</f>
        <v>#REF!</v>
      </c>
      <c r="AB101" s="36" t="str">
        <f ca="1">IFERROR(__xludf.DUMMYFUNCTION("VLOOKUP($G549, IMPORTRANGE(""https://docs.google.com/spreadsheets/d/1m0XUyo6H-YHIwm-JawEbLnxdQgU4gDApt1rpXCJkbqs/edit?gid=602588258#gid=602588258"", ""EQUIPOS!G4:523"") ,16,0)"),"#REF!")</f>
        <v>#REF!</v>
      </c>
      <c r="AC101" s="7"/>
    </row>
    <row r="102" spans="1:29" ht="42" customHeight="1">
      <c r="A102" s="7"/>
      <c r="B102" s="26">
        <v>566</v>
      </c>
      <c r="C102" s="27" t="b">
        <v>1</v>
      </c>
      <c r="D102" s="70" t="s">
        <v>58</v>
      </c>
      <c r="E102" s="27" t="s">
        <v>734</v>
      </c>
      <c r="F102" s="27" t="s">
        <v>735</v>
      </c>
      <c r="G102" s="27" t="s">
        <v>736</v>
      </c>
      <c r="H102" s="28" t="s">
        <v>737</v>
      </c>
      <c r="I102" s="27" t="s">
        <v>22</v>
      </c>
      <c r="J102" s="29">
        <v>61</v>
      </c>
      <c r="K102" s="30" t="s">
        <v>47</v>
      </c>
      <c r="L102" s="31" t="s">
        <v>738</v>
      </c>
      <c r="M102" s="32" t="s">
        <v>40</v>
      </c>
      <c r="N102" s="33" t="s">
        <v>739</v>
      </c>
      <c r="O102" s="33" t="s">
        <v>740</v>
      </c>
      <c r="P102" s="34" t="s">
        <v>741</v>
      </c>
      <c r="Q102" s="33" t="b">
        <v>0</v>
      </c>
      <c r="R102" s="33" t="s">
        <v>41</v>
      </c>
      <c r="S102" s="27" t="s">
        <v>41</v>
      </c>
      <c r="T102" s="34" t="s">
        <v>742</v>
      </c>
      <c r="U102" s="31" t="s">
        <v>45</v>
      </c>
      <c r="V102" s="45"/>
      <c r="W102" s="27"/>
      <c r="X102" s="34" t="s">
        <v>54</v>
      </c>
      <c r="Y102" s="36" t="str">
        <f ca="1">IFERROR(__xludf.DUMMYFUNCTION("VLOOKUP($G571, IMPORTRANGE(""https://docs.google.com/spreadsheets/d/1m0XUyo6H-YHIwm-JawEbLnxdQgU4gDApt1rpXCJkbqs/edit?gid=602588258#gid=602588258"", ""EQUIPOS!G4:523"") ,13,0)"),"#REF!")</f>
        <v>#REF!</v>
      </c>
      <c r="Z102" s="36" t="str">
        <f ca="1">IFERROR(__xludf.DUMMYFUNCTION("VLOOKUP($G571, IMPORTRANGE(""https://docs.google.com/spreadsheets/d/1m0XUyo6H-YHIwm-JawEbLnxdQgU4gDApt1rpXCJkbqs/edit?gid=602588258#gid=602588258"", ""EQUIPOS!G4:523"") ,14,0)"),"#REF!")</f>
        <v>#REF!</v>
      </c>
      <c r="AA102" s="36" t="str">
        <f ca="1">IFERROR(__xludf.DUMMYFUNCTION("VLOOKUP($G571, IMPORTRANGE(""https://docs.google.com/spreadsheets/d/1m0XUyo6H-YHIwm-JawEbLnxdQgU4gDApt1rpXCJkbqs/edit?gid=602588258#gid=602588258"", ""EQUIPOS!G4:523"") ,15,0)"),"#REF!")</f>
        <v>#REF!</v>
      </c>
      <c r="AB102" s="36" t="str">
        <f ca="1">IFERROR(__xludf.DUMMYFUNCTION("VLOOKUP($G571, IMPORTRANGE(""https://docs.google.com/spreadsheets/d/1m0XUyo6H-YHIwm-JawEbLnxdQgU4gDApt1rpXCJkbqs/edit?gid=602588258#gid=602588258"", ""EQUIPOS!G4:523"") ,16,0)"),"#REF!")</f>
        <v>#REF!</v>
      </c>
      <c r="AC102" s="7"/>
    </row>
    <row r="103" spans="1:29" ht="42" customHeight="1">
      <c r="A103" s="7"/>
      <c r="B103" s="26">
        <v>568</v>
      </c>
      <c r="C103" s="27" t="b">
        <v>1</v>
      </c>
      <c r="D103" s="70" t="s">
        <v>58</v>
      </c>
      <c r="E103" s="27" t="s">
        <v>734</v>
      </c>
      <c r="F103" s="27" t="s">
        <v>743</v>
      </c>
      <c r="G103" s="27" t="s">
        <v>743</v>
      </c>
      <c r="H103" s="28" t="s">
        <v>744</v>
      </c>
      <c r="I103" s="27" t="s">
        <v>22</v>
      </c>
      <c r="J103" s="29">
        <v>97</v>
      </c>
      <c r="K103" s="30" t="s">
        <v>47</v>
      </c>
      <c r="L103" s="31" t="s">
        <v>745</v>
      </c>
      <c r="M103" s="32" t="s">
        <v>746</v>
      </c>
      <c r="N103" s="33" t="s">
        <v>739</v>
      </c>
      <c r="O103" s="33" t="s">
        <v>747</v>
      </c>
      <c r="P103" s="34" t="s">
        <v>748</v>
      </c>
      <c r="Q103" s="33" t="b">
        <v>0</v>
      </c>
      <c r="R103" s="33" t="s">
        <v>41</v>
      </c>
      <c r="S103" s="27" t="s">
        <v>41</v>
      </c>
      <c r="T103" s="34" t="s">
        <v>749</v>
      </c>
      <c r="U103" s="31" t="s">
        <v>70</v>
      </c>
      <c r="V103" s="45"/>
      <c r="W103" s="27"/>
      <c r="X103" s="34" t="s">
        <v>54</v>
      </c>
      <c r="Y103" s="36" t="str">
        <f ca="1">IFERROR(__xludf.DUMMYFUNCTION("VLOOKUP($G573, IMPORTRANGE(""https://docs.google.com/spreadsheets/d/1m0XUyo6H-YHIwm-JawEbLnxdQgU4gDApt1rpXCJkbqs/edit?gid=602588258#gid=602588258"", ""EQUIPOS!G4:523"") ,13,0)"),"#REF!")</f>
        <v>#REF!</v>
      </c>
      <c r="Z103" s="36" t="str">
        <f ca="1">IFERROR(__xludf.DUMMYFUNCTION("VLOOKUP($G573, IMPORTRANGE(""https://docs.google.com/spreadsheets/d/1m0XUyo6H-YHIwm-JawEbLnxdQgU4gDApt1rpXCJkbqs/edit?gid=602588258#gid=602588258"", ""EQUIPOS!G4:523"") ,14,0)"),"#REF!")</f>
        <v>#REF!</v>
      </c>
      <c r="AA103" s="36" t="str">
        <f ca="1">IFERROR(__xludf.DUMMYFUNCTION("VLOOKUP($G573, IMPORTRANGE(""https://docs.google.com/spreadsheets/d/1m0XUyo6H-YHIwm-JawEbLnxdQgU4gDApt1rpXCJkbqs/edit?gid=602588258#gid=602588258"", ""EQUIPOS!G4:523"") ,15,0)"),"#REF!")</f>
        <v>#REF!</v>
      </c>
      <c r="AB103" s="36" t="str">
        <f ca="1">IFERROR(__xludf.DUMMYFUNCTION("VLOOKUP($G573, IMPORTRANGE(""https://docs.google.com/spreadsheets/d/1m0XUyo6H-YHIwm-JawEbLnxdQgU4gDApt1rpXCJkbqs/edit?gid=602588258#gid=602588258"", ""EQUIPOS!G4:523"") ,16,0)"),"#REF!")</f>
        <v>#REF!</v>
      </c>
      <c r="AC103" s="7"/>
    </row>
    <row r="104" spans="1:29" ht="42" customHeight="1">
      <c r="A104" s="7"/>
      <c r="B104" s="26">
        <v>569</v>
      </c>
      <c r="C104" s="41" t="b">
        <v>0</v>
      </c>
      <c r="D104" s="70" t="s">
        <v>58</v>
      </c>
      <c r="E104" s="27" t="s">
        <v>734</v>
      </c>
      <c r="F104" s="27" t="s">
        <v>750</v>
      </c>
      <c r="G104" s="27" t="s">
        <v>750</v>
      </c>
      <c r="H104" s="28" t="s">
        <v>751</v>
      </c>
      <c r="I104" s="27" t="s">
        <v>22</v>
      </c>
      <c r="J104" s="29">
        <v>426</v>
      </c>
      <c r="K104" s="30" t="s">
        <v>47</v>
      </c>
      <c r="L104" s="31" t="s">
        <v>752</v>
      </c>
      <c r="M104" s="32"/>
      <c r="N104" s="33"/>
      <c r="O104" s="33"/>
      <c r="P104" s="34"/>
      <c r="Q104" s="69" t="b">
        <v>0</v>
      </c>
      <c r="R104" s="33" t="s">
        <v>78</v>
      </c>
      <c r="S104" s="27"/>
      <c r="T104" s="34"/>
      <c r="U104" s="31" t="s">
        <v>67</v>
      </c>
      <c r="V104" s="45"/>
      <c r="W104" s="27"/>
      <c r="X104" s="34" t="s">
        <v>46</v>
      </c>
      <c r="Y104" s="36" t="str">
        <f ca="1">IFERROR(__xludf.DUMMYFUNCTION("VLOOKUP($G574, IMPORTRANGE(""https://docs.google.com/spreadsheets/d/1m0XUyo6H-YHIwm-JawEbLnxdQgU4gDApt1rpXCJkbqs/edit?gid=602588258#gid=602588258"", ""EQUIPOS!G4:523"") ,13,0)"),"#REF!")</f>
        <v>#REF!</v>
      </c>
      <c r="Z104" s="36" t="str">
        <f ca="1">IFERROR(__xludf.DUMMYFUNCTION("VLOOKUP($G574, IMPORTRANGE(""https://docs.google.com/spreadsheets/d/1m0XUyo6H-YHIwm-JawEbLnxdQgU4gDApt1rpXCJkbqs/edit?gid=602588258#gid=602588258"", ""EQUIPOS!G4:523"") ,14,0)"),"#REF!")</f>
        <v>#REF!</v>
      </c>
      <c r="AA104" s="36" t="str">
        <f ca="1">IFERROR(__xludf.DUMMYFUNCTION("VLOOKUP($G574, IMPORTRANGE(""https://docs.google.com/spreadsheets/d/1m0XUyo6H-YHIwm-JawEbLnxdQgU4gDApt1rpXCJkbqs/edit?gid=602588258#gid=602588258"", ""EQUIPOS!G4:523"") ,15,0)"),"#REF!")</f>
        <v>#REF!</v>
      </c>
      <c r="AB104" s="36" t="str">
        <f ca="1">IFERROR(__xludf.DUMMYFUNCTION("VLOOKUP($G574, IMPORTRANGE(""https://docs.google.com/spreadsheets/d/1m0XUyo6H-YHIwm-JawEbLnxdQgU4gDApt1rpXCJkbqs/edit?gid=602588258#gid=602588258"", ""EQUIPOS!G4:523"") ,16,0)"),"#REF!")</f>
        <v>#REF!</v>
      </c>
      <c r="AC104" s="7"/>
    </row>
    <row r="105" spans="1:29" ht="42" customHeight="1">
      <c r="A105" s="7"/>
      <c r="B105" s="26">
        <v>571</v>
      </c>
      <c r="C105" s="27" t="b">
        <v>1</v>
      </c>
      <c r="D105" s="70" t="s">
        <v>58</v>
      </c>
      <c r="E105" s="27" t="s">
        <v>734</v>
      </c>
      <c r="F105" s="27" t="s">
        <v>753</v>
      </c>
      <c r="G105" s="27" t="s">
        <v>754</v>
      </c>
      <c r="H105" s="28" t="s">
        <v>755</v>
      </c>
      <c r="I105" s="27" t="s">
        <v>22</v>
      </c>
      <c r="J105" s="29">
        <v>65</v>
      </c>
      <c r="K105" s="30" t="s">
        <v>47</v>
      </c>
      <c r="L105" s="39" t="s">
        <v>756</v>
      </c>
      <c r="M105" s="32" t="s">
        <v>40</v>
      </c>
      <c r="N105" s="33" t="s">
        <v>757</v>
      </c>
      <c r="O105" s="33" t="s">
        <v>758</v>
      </c>
      <c r="P105" s="34" t="s">
        <v>759</v>
      </c>
      <c r="Q105" s="69" t="b">
        <v>0</v>
      </c>
      <c r="R105" s="33" t="s">
        <v>78</v>
      </c>
      <c r="S105" s="33" t="s">
        <v>41</v>
      </c>
      <c r="T105" s="43" t="s">
        <v>760</v>
      </c>
      <c r="U105" s="31" t="s">
        <v>52</v>
      </c>
      <c r="V105" s="49" t="s">
        <v>40</v>
      </c>
      <c r="W105" s="32" t="s">
        <v>40</v>
      </c>
      <c r="X105" s="34" t="s">
        <v>51</v>
      </c>
      <c r="Y105" s="36" t="str">
        <f ca="1">IFERROR(__xludf.DUMMYFUNCTION("VLOOKUP($G576, IMPORTRANGE(""https://docs.google.com/spreadsheets/d/1m0XUyo6H-YHIwm-JawEbLnxdQgU4gDApt1rpXCJkbqs/edit?gid=602588258#gid=602588258"", ""EQUIPOS!G4:523"") ,13,0)"),"#REF!")</f>
        <v>#REF!</v>
      </c>
      <c r="Z105" s="36" t="str">
        <f ca="1">IFERROR(__xludf.DUMMYFUNCTION("VLOOKUP($G576, IMPORTRANGE(""https://docs.google.com/spreadsheets/d/1m0XUyo6H-YHIwm-JawEbLnxdQgU4gDApt1rpXCJkbqs/edit?gid=602588258#gid=602588258"", ""EQUIPOS!G4:523"") ,14,0)"),"#REF!")</f>
        <v>#REF!</v>
      </c>
      <c r="AA105" s="36" t="str">
        <f ca="1">IFERROR(__xludf.DUMMYFUNCTION("VLOOKUP($G576, IMPORTRANGE(""https://docs.google.com/spreadsheets/d/1m0XUyo6H-YHIwm-JawEbLnxdQgU4gDApt1rpXCJkbqs/edit?gid=602588258#gid=602588258"", ""EQUIPOS!G4:523"") ,15,0)"),"#REF!")</f>
        <v>#REF!</v>
      </c>
      <c r="AB105" s="36" t="str">
        <f ca="1">IFERROR(__xludf.DUMMYFUNCTION("VLOOKUP($G576, IMPORTRANGE(""https://docs.google.com/spreadsheets/d/1m0XUyo6H-YHIwm-JawEbLnxdQgU4gDApt1rpXCJkbqs/edit?gid=602588258#gid=602588258"", ""EQUIPOS!G4:523"") ,16,0)"),"#REF!")</f>
        <v>#REF!</v>
      </c>
      <c r="AC105" s="7"/>
    </row>
    <row r="106" spans="1:29" ht="42" customHeight="1">
      <c r="A106" s="7"/>
      <c r="B106" s="26">
        <v>573</v>
      </c>
      <c r="C106" s="27" t="b">
        <v>1</v>
      </c>
      <c r="D106" s="70" t="s">
        <v>58</v>
      </c>
      <c r="E106" s="27" t="s">
        <v>734</v>
      </c>
      <c r="F106" s="27" t="s">
        <v>761</v>
      </c>
      <c r="G106" s="27" t="s">
        <v>761</v>
      </c>
      <c r="H106" s="28" t="s">
        <v>762</v>
      </c>
      <c r="I106" s="27" t="s">
        <v>22</v>
      </c>
      <c r="J106" s="29">
        <v>20</v>
      </c>
      <c r="K106" s="30" t="s">
        <v>47</v>
      </c>
      <c r="L106" s="31" t="s">
        <v>763</v>
      </c>
      <c r="M106" s="32" t="s">
        <v>40</v>
      </c>
      <c r="N106" s="33" t="s">
        <v>764</v>
      </c>
      <c r="O106" s="33" t="s">
        <v>765</v>
      </c>
      <c r="P106" s="34" t="s">
        <v>766</v>
      </c>
      <c r="Q106" s="33" t="b">
        <v>0</v>
      </c>
      <c r="R106" s="33" t="s">
        <v>41</v>
      </c>
      <c r="S106" s="27"/>
      <c r="T106" s="34"/>
      <c r="U106" s="31" t="s">
        <v>43</v>
      </c>
      <c r="V106" s="45"/>
      <c r="W106" s="27"/>
      <c r="X106" s="34" t="s">
        <v>46</v>
      </c>
      <c r="Y106" s="36" t="str">
        <f ca="1">IFERROR(__xludf.DUMMYFUNCTION("VLOOKUP($G578, IMPORTRANGE(""https://docs.google.com/spreadsheets/d/1m0XUyo6H-YHIwm-JawEbLnxdQgU4gDApt1rpXCJkbqs/edit?gid=602588258#gid=602588258"", ""EQUIPOS!G4:523"") ,13,0)"),"#REF!")</f>
        <v>#REF!</v>
      </c>
      <c r="Z106" s="36" t="str">
        <f ca="1">IFERROR(__xludf.DUMMYFUNCTION("VLOOKUP($G578, IMPORTRANGE(""https://docs.google.com/spreadsheets/d/1m0XUyo6H-YHIwm-JawEbLnxdQgU4gDApt1rpXCJkbqs/edit?gid=602588258#gid=602588258"", ""EQUIPOS!G4:523"") ,14,0)"),"#REF!")</f>
        <v>#REF!</v>
      </c>
      <c r="AA106" s="36" t="str">
        <f ca="1">IFERROR(__xludf.DUMMYFUNCTION("VLOOKUP($G578, IMPORTRANGE(""https://docs.google.com/spreadsheets/d/1m0XUyo6H-YHIwm-JawEbLnxdQgU4gDApt1rpXCJkbqs/edit?gid=602588258#gid=602588258"", ""EQUIPOS!G4:523"") ,15,0)"),"#REF!")</f>
        <v>#REF!</v>
      </c>
      <c r="AB106" s="36" t="str">
        <f ca="1">IFERROR(__xludf.DUMMYFUNCTION("VLOOKUP($G578, IMPORTRANGE(""https://docs.google.com/spreadsheets/d/1m0XUyo6H-YHIwm-JawEbLnxdQgU4gDApt1rpXCJkbqs/edit?gid=602588258#gid=602588258"", ""EQUIPOS!G4:523"") ,16,0)"),"#REF!")</f>
        <v>#REF!</v>
      </c>
      <c r="AC106" s="7"/>
    </row>
    <row r="107" spans="1:29" ht="42" customHeight="1">
      <c r="A107" s="7"/>
      <c r="B107" s="26">
        <v>574</v>
      </c>
      <c r="C107" s="27" t="b">
        <v>1</v>
      </c>
      <c r="D107" s="70" t="s">
        <v>58</v>
      </c>
      <c r="E107" s="27" t="s">
        <v>734</v>
      </c>
      <c r="F107" s="27" t="s">
        <v>767</v>
      </c>
      <c r="G107" s="27" t="s">
        <v>768</v>
      </c>
      <c r="H107" s="28" t="s">
        <v>769</v>
      </c>
      <c r="I107" s="27" t="s">
        <v>22</v>
      </c>
      <c r="J107" s="29">
        <v>13</v>
      </c>
      <c r="K107" s="30" t="s">
        <v>47</v>
      </c>
      <c r="L107" s="31" t="s">
        <v>770</v>
      </c>
      <c r="M107" s="32" t="s">
        <v>40</v>
      </c>
      <c r="N107" s="33" t="s">
        <v>135</v>
      </c>
      <c r="O107" s="33" t="s">
        <v>771</v>
      </c>
      <c r="P107" s="34"/>
      <c r="Q107" s="69" t="b">
        <v>0</v>
      </c>
      <c r="R107" s="33" t="s">
        <v>49</v>
      </c>
      <c r="S107" s="27"/>
      <c r="T107" s="34"/>
      <c r="U107" s="31" t="s">
        <v>50</v>
      </c>
      <c r="V107" s="45"/>
      <c r="W107" s="27"/>
      <c r="X107" s="34" t="s">
        <v>46</v>
      </c>
      <c r="Y107" s="36" t="str">
        <f ca="1">IFERROR(__xludf.DUMMYFUNCTION("VLOOKUP($G579, IMPORTRANGE(""https://docs.google.com/spreadsheets/d/1m0XUyo6H-YHIwm-JawEbLnxdQgU4gDApt1rpXCJkbqs/edit?gid=602588258#gid=602588258"", ""EQUIPOS!G4:523"") ,13,0)"),"#REF!")</f>
        <v>#REF!</v>
      </c>
      <c r="Z107" s="36" t="str">
        <f ca="1">IFERROR(__xludf.DUMMYFUNCTION("VLOOKUP($G579, IMPORTRANGE(""https://docs.google.com/spreadsheets/d/1m0XUyo6H-YHIwm-JawEbLnxdQgU4gDApt1rpXCJkbqs/edit?gid=602588258#gid=602588258"", ""EQUIPOS!G4:523"") ,14,0)"),"#REF!")</f>
        <v>#REF!</v>
      </c>
      <c r="AA107" s="36" t="str">
        <f ca="1">IFERROR(__xludf.DUMMYFUNCTION("VLOOKUP($G579, IMPORTRANGE(""https://docs.google.com/spreadsheets/d/1m0XUyo6H-YHIwm-JawEbLnxdQgU4gDApt1rpXCJkbqs/edit?gid=602588258#gid=602588258"", ""EQUIPOS!G4:523"") ,15,0)"),"#REF!")</f>
        <v>#REF!</v>
      </c>
      <c r="AB107" s="36" t="str">
        <f ca="1">IFERROR(__xludf.DUMMYFUNCTION("VLOOKUP($G579, IMPORTRANGE(""https://docs.google.com/spreadsheets/d/1m0XUyo6H-YHIwm-JawEbLnxdQgU4gDApt1rpXCJkbqs/edit?gid=602588258#gid=602588258"", ""EQUIPOS!G4:523"") ,16,0)"),"#REF!")</f>
        <v>#REF!</v>
      </c>
      <c r="AC107" s="7"/>
    </row>
    <row r="108" spans="1:29" ht="42" customHeight="1">
      <c r="A108" s="7"/>
      <c r="B108" s="26">
        <v>577</v>
      </c>
      <c r="C108" s="27" t="b">
        <v>1</v>
      </c>
      <c r="D108" s="70" t="s">
        <v>58</v>
      </c>
      <c r="E108" s="27" t="s">
        <v>734</v>
      </c>
      <c r="F108" s="27" t="s">
        <v>772</v>
      </c>
      <c r="G108" s="27" t="s">
        <v>772</v>
      </c>
      <c r="H108" s="28" t="s">
        <v>773</v>
      </c>
      <c r="I108" s="27" t="s">
        <v>22</v>
      </c>
      <c r="J108" s="29">
        <v>24</v>
      </c>
      <c r="K108" s="30" t="s">
        <v>47</v>
      </c>
      <c r="L108" s="31" t="s">
        <v>774</v>
      </c>
      <c r="M108" s="32" t="s">
        <v>775</v>
      </c>
      <c r="N108" s="33" t="s">
        <v>776</v>
      </c>
      <c r="O108" s="33" t="s">
        <v>777</v>
      </c>
      <c r="P108" s="34"/>
      <c r="Q108" s="69" t="b">
        <v>0</v>
      </c>
      <c r="R108" s="33" t="s">
        <v>134</v>
      </c>
      <c r="S108" s="27"/>
      <c r="T108" s="34"/>
      <c r="U108" s="31" t="s">
        <v>45</v>
      </c>
      <c r="V108" s="45"/>
      <c r="W108" s="27"/>
      <c r="X108" s="34" t="s">
        <v>46</v>
      </c>
      <c r="Y108" s="36" t="str">
        <f ca="1">IFERROR(__xludf.DUMMYFUNCTION("VLOOKUP($G582, IMPORTRANGE(""https://docs.google.com/spreadsheets/d/1m0XUyo6H-YHIwm-JawEbLnxdQgU4gDApt1rpXCJkbqs/edit?gid=602588258#gid=602588258"", ""EQUIPOS!G4:523"") ,13,0)"),"#REF!")</f>
        <v>#REF!</v>
      </c>
      <c r="Z108" s="36" t="str">
        <f ca="1">IFERROR(__xludf.DUMMYFUNCTION("VLOOKUP($G582, IMPORTRANGE(""https://docs.google.com/spreadsheets/d/1m0XUyo6H-YHIwm-JawEbLnxdQgU4gDApt1rpXCJkbqs/edit?gid=602588258#gid=602588258"", ""EQUIPOS!G4:523"") ,14,0)"),"#REF!")</f>
        <v>#REF!</v>
      </c>
      <c r="AA108" s="36" t="str">
        <f ca="1">IFERROR(__xludf.DUMMYFUNCTION("VLOOKUP($G582, IMPORTRANGE(""https://docs.google.com/spreadsheets/d/1m0XUyo6H-YHIwm-JawEbLnxdQgU4gDApt1rpXCJkbqs/edit?gid=602588258#gid=602588258"", ""EQUIPOS!G4:523"") ,15,0)"),"#REF!")</f>
        <v>#REF!</v>
      </c>
      <c r="AB108" s="36" t="str">
        <f ca="1">IFERROR(__xludf.DUMMYFUNCTION("VLOOKUP($G582, IMPORTRANGE(""https://docs.google.com/spreadsheets/d/1m0XUyo6H-YHIwm-JawEbLnxdQgU4gDApt1rpXCJkbqs/edit?gid=602588258#gid=602588258"", ""EQUIPOS!G4:523"") ,16,0)"),"#REF!")</f>
        <v>#REF!</v>
      </c>
      <c r="AC108" s="7"/>
    </row>
    <row r="109" spans="1:29" ht="42" customHeight="1">
      <c r="A109" s="7"/>
      <c r="B109" s="26">
        <v>580</v>
      </c>
      <c r="C109" s="27" t="b">
        <v>1</v>
      </c>
      <c r="D109" s="70" t="s">
        <v>58</v>
      </c>
      <c r="E109" s="27" t="s">
        <v>734</v>
      </c>
      <c r="F109" s="27" t="s">
        <v>778</v>
      </c>
      <c r="G109" s="27" t="s">
        <v>778</v>
      </c>
      <c r="H109" s="28" t="s">
        <v>779</v>
      </c>
      <c r="I109" s="27" t="s">
        <v>22</v>
      </c>
      <c r="J109" s="29">
        <v>81</v>
      </c>
      <c r="K109" s="30" t="s">
        <v>47</v>
      </c>
      <c r="L109" s="39" t="s">
        <v>780</v>
      </c>
      <c r="M109" s="32" t="s">
        <v>40</v>
      </c>
      <c r="N109" s="33" t="s">
        <v>781</v>
      </c>
      <c r="O109" s="33" t="s">
        <v>782</v>
      </c>
      <c r="P109" s="34" t="s">
        <v>783</v>
      </c>
      <c r="Q109" s="69" t="b">
        <v>0</v>
      </c>
      <c r="R109" s="33" t="s">
        <v>78</v>
      </c>
      <c r="S109" s="27"/>
      <c r="T109" s="34"/>
      <c r="U109" s="31" t="s">
        <v>52</v>
      </c>
      <c r="V109" s="45"/>
      <c r="W109" s="27"/>
      <c r="X109" s="34" t="s">
        <v>46</v>
      </c>
      <c r="Y109" s="36" t="str">
        <f ca="1">IFERROR(__xludf.DUMMYFUNCTION("VLOOKUP($G585, IMPORTRANGE(""https://docs.google.com/spreadsheets/d/1m0XUyo6H-YHIwm-JawEbLnxdQgU4gDApt1rpXCJkbqs/edit?gid=602588258#gid=602588258"", ""EQUIPOS!G4:523"") ,13,0)"),"#REF!")</f>
        <v>#REF!</v>
      </c>
      <c r="Z109" s="36" t="str">
        <f ca="1">IFERROR(__xludf.DUMMYFUNCTION("VLOOKUP($G585, IMPORTRANGE(""https://docs.google.com/spreadsheets/d/1m0XUyo6H-YHIwm-JawEbLnxdQgU4gDApt1rpXCJkbqs/edit?gid=602588258#gid=602588258"", ""EQUIPOS!G4:523"") ,14,0)"),"#REF!")</f>
        <v>#REF!</v>
      </c>
      <c r="AA109" s="36" t="str">
        <f ca="1">IFERROR(__xludf.DUMMYFUNCTION("VLOOKUP($G585, IMPORTRANGE(""https://docs.google.com/spreadsheets/d/1m0XUyo6H-YHIwm-JawEbLnxdQgU4gDApt1rpXCJkbqs/edit?gid=602588258#gid=602588258"", ""EQUIPOS!G4:523"") ,15,0)"),"#REF!")</f>
        <v>#REF!</v>
      </c>
      <c r="AB109" s="36" t="str">
        <f ca="1">IFERROR(__xludf.DUMMYFUNCTION("VLOOKUP($G585, IMPORTRANGE(""https://docs.google.com/spreadsheets/d/1m0XUyo6H-YHIwm-JawEbLnxdQgU4gDApt1rpXCJkbqs/edit?gid=602588258#gid=602588258"", ""EQUIPOS!G4:523"") ,16,0)"),"#REF!")</f>
        <v>#REF!</v>
      </c>
      <c r="AC109" s="7"/>
    </row>
    <row r="110" spans="1:29" ht="42" customHeight="1">
      <c r="A110" s="3"/>
      <c r="B110" s="26">
        <v>582</v>
      </c>
      <c r="C110" s="27" t="b">
        <v>1</v>
      </c>
      <c r="D110" s="70" t="s">
        <v>58</v>
      </c>
      <c r="E110" s="27" t="s">
        <v>270</v>
      </c>
      <c r="F110" s="27" t="s">
        <v>784</v>
      </c>
      <c r="G110" s="27" t="s">
        <v>784</v>
      </c>
      <c r="H110" s="28" t="s">
        <v>785</v>
      </c>
      <c r="I110" s="27" t="s">
        <v>22</v>
      </c>
      <c r="J110" s="29">
        <v>2</v>
      </c>
      <c r="K110" s="30" t="s">
        <v>39</v>
      </c>
      <c r="L110" s="39" t="s">
        <v>786</v>
      </c>
      <c r="M110" s="32" t="s">
        <v>40</v>
      </c>
      <c r="N110" s="33" t="s">
        <v>787</v>
      </c>
      <c r="O110" s="33">
        <v>6197000</v>
      </c>
      <c r="P110" s="34" t="s">
        <v>788</v>
      </c>
      <c r="Q110" s="33" t="b">
        <v>0</v>
      </c>
      <c r="R110" s="33"/>
      <c r="S110" s="27" t="s">
        <v>42</v>
      </c>
      <c r="T110" s="34" t="s">
        <v>789</v>
      </c>
      <c r="U110" s="31" t="s">
        <v>67</v>
      </c>
      <c r="V110" s="45"/>
      <c r="W110" s="27"/>
      <c r="X110" s="34" t="s">
        <v>46</v>
      </c>
      <c r="Y110" s="36" t="str">
        <f ca="1">IFERROR(__xludf.DUMMYFUNCTION("VLOOKUP($G587, IMPORTRANGE(""https://docs.google.com/spreadsheets/d/1m0XUyo6H-YHIwm-JawEbLnxdQgU4gDApt1rpXCJkbqs/edit?gid=602588258#gid=602588258"", ""EQUIPOS!G4:523"") ,13,0)"),"#REF!")</f>
        <v>#REF!</v>
      </c>
      <c r="Z110" s="36" t="str">
        <f ca="1">IFERROR(__xludf.DUMMYFUNCTION("VLOOKUP($G587, IMPORTRANGE(""https://docs.google.com/spreadsheets/d/1m0XUyo6H-YHIwm-JawEbLnxdQgU4gDApt1rpXCJkbqs/edit?gid=602588258#gid=602588258"", ""EQUIPOS!G4:523"") ,14,0)"),"#REF!")</f>
        <v>#REF!</v>
      </c>
      <c r="AA110" s="36" t="str">
        <f ca="1">IFERROR(__xludf.DUMMYFUNCTION("VLOOKUP($G587, IMPORTRANGE(""https://docs.google.com/spreadsheets/d/1m0XUyo6H-YHIwm-JawEbLnxdQgU4gDApt1rpXCJkbqs/edit?gid=602588258#gid=602588258"", ""EQUIPOS!G4:523"") ,15,0)"),"#REF!")</f>
        <v>#REF!</v>
      </c>
      <c r="AB110" s="36" t="str">
        <f ca="1">IFERROR(__xludf.DUMMYFUNCTION("VLOOKUP($G587, IMPORTRANGE(""https://docs.google.com/spreadsheets/d/1m0XUyo6H-YHIwm-JawEbLnxdQgU4gDApt1rpXCJkbqs/edit?gid=602588258#gid=602588258"", ""EQUIPOS!G4:523"") ,16,0)"),"#REF!")</f>
        <v>#REF!</v>
      </c>
      <c r="AC110" s="7"/>
    </row>
  </sheetData>
  <autoFilter ref="B5:U110" xr:uid="{00000000-0009-0000-0000-000000000000}"/>
  <customSheetViews>
    <customSheetView guid="{93C6411C-789B-4715-99FF-84F4F00EA341}" filter="1" showAutoFilter="1">
      <pageMargins left="0.7" right="0.7" top="0.75" bottom="0.75" header="0.3" footer="0.3"/>
      <autoFilter ref="A5:AC587" xr:uid="{CDA3E997-44E7-4C48-9BA8-7D7BD78EE7B3}">
        <filterColumn colId="24">
          <filters>
            <filter val="#REF!"/>
          </filters>
        </filterColumn>
      </autoFilter>
    </customSheetView>
    <customSheetView guid="{B74867AD-9926-47F0-900D-1E597DE386AF}" filter="1" showAutoFilter="1">
      <pageMargins left="0.7" right="0.7" top="0.75" bottom="0.75" header="0.3" footer="0.3"/>
      <autoFilter ref="A5:AC587" xr:uid="{5D566EE5-551F-4949-B205-849E1FFBB630}">
        <filterColumn colId="18">
          <filters>
            <filter val="SI ( NV )"/>
            <filter val="SI"/>
          </filters>
        </filterColumn>
        <filterColumn colId="23">
          <filters>
            <filter val="RESTANTES"/>
            <filter val="BRUNO"/>
          </filters>
        </filterColumn>
        <sortState xmlns:xlrd2="http://schemas.microsoft.com/office/spreadsheetml/2017/richdata2" ref="A5:AC587">
          <sortCondition ref="C5:C587"/>
          <sortCondition ref="B5:B587"/>
          <sortCondition ref="X5:X587"/>
        </sortState>
      </autoFilter>
    </customSheetView>
    <customSheetView guid="{4E7A7C50-8FB6-461B-BA0A-BF4262290F57}" filter="1" showAutoFilter="1">
      <pageMargins left="0.7" right="0.7" top="0.75" bottom="0.75" header="0.3" footer="0.3"/>
      <autoFilter ref="A5:AC589" xr:uid="{C9477C3A-FA8F-4421-A397-431B1A384BCF}">
        <filterColumn colId="2">
          <filters>
            <filter val="FALSE"/>
          </filters>
        </filterColumn>
        <filterColumn colId="4">
          <filters blank="1">
            <filter val="EQUIPOS"/>
            <filter val="HERRAMIENTAS"/>
          </filters>
        </filterColumn>
      </autoFilter>
    </customSheetView>
    <customSheetView guid="{86A21194-464B-4320-9122-73478F9E7810}" filter="1" showAutoFilter="1">
      <pageMargins left="0.7" right="0.7" top="0.75" bottom="0.75" header="0.3" footer="0.3"/>
      <autoFilter ref="A5:AC589" xr:uid="{FBFB2313-ECEB-4D7E-BE07-F20E37FC97F8}">
        <filterColumn colId="7">
          <colorFilter dxfId="6"/>
        </filterColumn>
      </autoFilter>
    </customSheetView>
    <customSheetView guid="{EB873FF7-24B3-4A71-BC66-FBA2FFB77AF4}" filter="1" showAutoFilter="1">
      <pageMargins left="0.7" right="0.7" top="0.75" bottom="0.75" header="0.3" footer="0.3"/>
      <autoFilter ref="A5:AC587" xr:uid="{51D437D2-8977-49E5-9573-BF8D97325B84}">
        <filterColumn colId="2">
          <filters>
            <filter val="FALSE"/>
          </filters>
        </filterColumn>
      </autoFilter>
    </customSheetView>
    <customSheetView guid="{19D31E72-A2BC-4DF4-8A87-62D53E05765F}" filter="1" showAutoFilter="1">
      <pageMargins left="0.7" right="0.7" top="0.75" bottom="0.75" header="0.3" footer="0.3"/>
      <autoFilter ref="A5:T589" xr:uid="{7DBB566B-2404-4E17-A261-717EBBBB348B}">
        <filterColumn colId="7">
          <filters blank="1">
            <filter val="ABLANDADOR DE CARNE"/>
            <filter val="ABREOJALES"/>
            <filter val="ACEITERA"/>
            <filter val="ADAPTADOR MAGNETICO PARA PUNTAS"/>
            <filter val="AMOLADORA"/>
            <filter val="ANALIZADOR DE ESPECTRO"/>
            <filter val="ANALIZADOR DE GAS DE ESCAPE"/>
            <filter val="ATORNILLADOR PORTÁTIL"/>
            <filter val="AUDÍFONOS"/>
            <filter val="AUTOCLAVE 18 LITROS (ESTERILIZACIÓN)"/>
            <filter val="BAILARINA METÁLICA"/>
            <filter val="BALANZA 3KG"/>
            <filter val="BALANZA 40KG"/>
            <filter val="BALANZA 5KG"/>
            <filter val="BALANZA DIGITAL"/>
            <filter val="BALANZA GRAMERA 500G"/>
            <filter val="BALDE DE PLÁSTICO 10 LITROS"/>
            <filter val="BALDE DE PLÁSTICO 20 LITROS"/>
            <filter val="BALDE DE PLÁSTICO 5 LITROS"/>
            <filter val="BALÓN DE ACETILENO"/>
            <filter val="BALÓN DE ARGÓN"/>
            <filter val="BALÓN DE CO2"/>
            <filter val="BALÓN DE OXÍGENO"/>
            <filter val="BANDEJA BAGUETERA"/>
            <filter val="BANDEJA LISA"/>
            <filter val="BANDEJA PARA RECOLECTAR ACEITE."/>
            <filter val="BANDEJA PERFORADA"/>
            <filter val="BANNER DE LÍNEAS DEL TIEMPO CON TEMAS DEL TALLER"/>
            <filter val="BATAN"/>
            <filter val="BATIDOR MANUAL"/>
            <filter val="BATIDORA"/>
            <filter val="BATIDORA AMASADORA MEZCLADORA 5 LT"/>
            <filter val="BATIDORA MULTIFUNCIONAL"/>
            <filter val="BLOCK DE CONTACTORES AUXILIAR NC - NO"/>
            <filter val="BORDADORA DOMESTICA DIGITAL, ÁREA DE TRABAJO DE 300 MM X 180 MM"/>
            <filter val="BOTIQUÍN"/>
            <filter val="BOTIQUIN 30 X 25 X 10 CM"/>
            <filter val="BOTÓN PULSADOR INDUSTRIAL (VERDE, AMARILLO, ROJO)"/>
            <filter val="BROCHA DE SILICONA"/>
            <filter val="CABALLETES"/>
            <filter val="CALIBRADOR ANALÓGICO"/>
            <filter val="CALIBRADOR DE CONDUCTORES ELÉCTRICOS AWG"/>
            <filter val="CALIBRADOR DIGITAL"/>
            <filter val="CÁMARA DE VIDEO CON TRÍPODE"/>
            <filter val="CÁMARA FOTOGRÁFICA"/>
            <filter val="CAMPANA EXTRACTORA ISLA CON EQUIPOS DE EXTRACCIÓN"/>
            <filter val="CAPACÍMETRO DIGITAL"/>
            <filter val="CARETA DE SOLDAR FOTOSENSIBLE"/>
            <filter val="CARGADOR DE BATERÍA"/>
            <filter val="CAUTÍN"/>
            <filter val="CIZALLA"/>
            <filter val="CIZALLA GUILLOTINA MECÁNICA"/>
            <filter val="COCINA 1 HORNILLA A GAS"/>
            <filter val="COCINA DE INDUCCIÓN CON 5 ZONAS DE COCCIÓN Y CON HORNO MULTIFUNCIONAL"/>
            <filter val="COCINA SEMI INDUSTRIAL"/>
            <filter val="COCINA SEMI INDUSTRIAL A GAS"/>
            <filter val="COLADOR TIPO EMBUDO"/>
            <filter val="COMBA DE 5 LB"/>
            <filter val="COMPRENSORA DE AIRE DE 50 LITROS"/>
            <filter val="COMPRESÍMETRO DE ANILLOS"/>
            <filter val="COMPRESORA DE AIRE (50L - 2HP)"/>
            <filter val="COMPRESORA DE AIRE (50L - 3HP)"/>
            <filter val="COMPROBADORES DE ENCENDIDO"/>
            <filter val="COMPUTADORA DE ESCRITORIO"/>
            <filter val="CONSERVADORA / CONGELADORA PUERTA VIDRIO VERTICAL   55 LT DUAL"/>
            <filter val="CONSERVADORA / CONGELADORA PUERTA VIDRIO VERTICAL 55 LT DUA"/>
            <filter val="CONSOLA DE SONIDO"/>
            <filter val="CONTACTOR TRIPOLAR"/>
            <filter val="CONTENEDOR DE BASURA 50 LT"/>
            <filter val="CORTADOR DE HUEVOS"/>
            <filter val="CORTADOR DE PATATAS DE PALANCA"/>
            <filter val="CORTADORA LÁSER CO2"/>
            <filter val="CORTADORA LÁSER CO2 (AREA DE TRABAJO MINIMO: 1300 X 900 MM)"/>
            <filter val="CORTADORA LÁSER CO2 (AREA DE TRABAJO MINIMO: 600 X 400 MM )"/>
            <filter val="CUCHILLA DE ELECTRICISTA"/>
            <filter val="CUCHILLO CORTE DE HUESOS Y VERDURAS"/>
            <filter val="CUCHILLO PARA PASTELERIA"/>
            <filter val="CURVADORA DE TUBOS HIDRÁULICO"/>
            <filter val="DESCASCARILLADOR"/>
            <filter val="DESCREMADORA MANUAL"/>
            <filter val="DESHIDRATADORA"/>
            <filter val="DESPULPADORA MANUAL DE FRUTAS"/>
            <filter val="DESTORNILLADOR INALÁMBRICO"/>
            <filter val="DISCO DE SIERRA CIRCULAR"/>
            <filter val="DISCO DE SIERRA RADIAL"/>
            <filter val="DISCO PARA SIERRA CIRCULAR PARA CORTE DE TABLEROS MELAMINICOS"/>
            <filter val="DISTANCIÓMETRO LASER DE 20 M"/>
            <filter val="DIVISORA DE PAN"/>
            <filter val="DRON PARA USO DE VIDEO Y FOTOGRAFÍA"/>
            <filter val="ELEVADOR DE COLUMNAS HIDRÁULICO"/>
            <filter val="ELEVADOR DE TIJERA"/>
            <filter val="EMBUDO DE USO INDUSTRIAL"/>
            <filter val="ENCHAPADORA DE CANTOS CON DEPÓSITO DE COLA Y MESA ESTACIONARIA"/>
            <filter val="ENGRASADORA"/>
            <filter val="EQUIPO DE ASPIRACIÓN"/>
            <filter val="EQUIPO DE GRABACIÓN PARA REPORTERO"/>
            <filter val="EQUIPO DE SONIDO"/>
            <filter val="EQUIPO DESPEDREGADORA"/>
            <filter val="EQUIPO PARA PINTURA POR SPRAY"/>
            <filter val="ESCANER UNIVERSAL AUTOMOTRIZ"/>
            <filter val="ESCARIFICADORA (DESAPONIFICADORA) DE QUINUA"/>
            <filter val="ESCOBILLA"/>
            <filter val="ESCOBILLON"/>
            <filter val="ESCOBILLÓN"/>
            <filter val="ESCUADRA"/>
            <filter val="ESCUADRA DE COMBINACIÓN"/>
            <filter val="ESCUADRA DE PLANCHA"/>
            <filter val="ESCUADRA DE TOPE"/>
            <filter val="ESMERIL DE BANCO"/>
            <filter val="ESMERIL DE BANCO (CON SOPORTE)"/>
            <filter val="ESPÁTULA DE GOMA"/>
            <filter val="ESPATULA DE SILICONA"/>
            <filter val="ESPUMADERA"/>
            <filter val="ESTACIÓN MÓVIL PARA ENTRENAMIENTO DE INSTALACIONES ELÉCTRICA"/>
            <filter val="ESTETOSCOPIO DE MECÁNICO"/>
            <filter val="EXPRIMIDOR DE CITRICOS DE 4 TAMBORES"/>
            <filter val="EXPRIMIDOR DE LIMÓN"/>
            <filter val="EXPRIMIDOR MANUAL DE JUGOS MELAZA"/>
            <filter val="EXPRIMIDORA"/>
            <filter val="EXTRACTOR"/>
            <filter val="EXTRACTOR DE HUMO"/>
            <filter val="EXTRACTOR DE PALIER"/>
            <filter val="EXTRACTOR DE SOLDADURA"/>
            <filter val="EXTRACTOR DE VÁLVULAS (COMPRESOR DE MUELLES DE VÁLVULAS UNIVERSAL TIPO ARCO)"/>
            <filter val="FALSA ESCUADRA"/>
            <filter val="FRECUENCÍMETRO DIGITAL"/>
            <filter val="FREIDORA DE DOS BANDEJAS"/>
            <filter val="FREIDORA DE SOBREMESA A GAS"/>
            <filter val="FUENTE DE ALIMENTACIÓN"/>
            <filter val="FUNDA PROTECTORA IMPERMEABLE"/>
            <filter val="GALONERA"/>
            <filter val="GATO HIDRÁULICO TIPO LAGARTO"/>
            <filter val="GENERADOR DE SEÑALES ANALÓGICAS Y DIGITALES"/>
            <filter val="GONIÓMETRO DIGITAL"/>
            <filter val="GRANETE"/>
            <filter val="GRATINADOR"/>
            <filter val="GREEN SCREEN"/>
            <filter val="GUANTE DE MALLA METÁLICA"/>
            <filter val="GUANTES DE ELECTRICISTA"/>
            <filter val="GUANTES DE MECÁNICO"/>
            <filter val="GUANTES DE SILICONA (MANOPLAS PARA OLLAS Y HORNOS)"/>
            <filter val="GUANTES DE SILICONA RESISTENTES AL CALOR CON FORRO INTERIOR DE ALGODÓN,_x000a_MANOPLAS PARA OLLAS Y HORNOS"/>
            <filter val="GUANTES MULTIUSO ANTIBACTERIAL"/>
            <filter val="GUANTES PARA SOLDAR"/>
            <filter val="GUARDAPOLVO"/>
            <filter val="HERRAMIENTA PARA REMOVER RESORTE DE FRENO"/>
            <filter val="HORNO PASTELERO"/>
            <filter val="HORNO TOSTADOR"/>
            <filter val="IMPRESORA 3D"/>
            <filter val="IMPRESORA DIGITAL TEXTIL"/>
            <filter val="IMPRESORA MULTIFUNCIONAL"/>
            <filter val="IMPRESORA PARA SUBLIMACIÓN"/>
            <filter val="INCUBADORA PARA YOGURT"/>
            <filter val="INDUMENTARIA"/>
            <filter val="JALADOR"/>
            <filter val="JARRA DE PLÁSTICO DE 2 LITROS"/>
            <filter val="JUEGO DE ALICATES"/>
            <filter val="JUEGO DE ALICATES AISLADOS"/>
            <filter val="JUEGO DE BOQUILLAS DECORATIVAS"/>
            <filter val="JUEGO DE BOQUILLAS DECORATIVAS + MANGAS"/>
            <filter val="JUEGO DE BRACERA ROSTICERA"/>
            <filter val="JUEGO DE BROCAS"/>
            <filter val="JUEGO DE BROCAS DE COPA PARA MADERA"/>
            <filter val="JUEGO DE BROCAS DE PALETA"/>
            <filter val="JUEGO DE BROCAS HSS PARA METAL"/>
            <filter val="JUEGO DE BROCAS PARA BISAGRA DE CANGREJO"/>
            <filter val="JUEGO DE BROCAS PARA METAL, MADERA, CEMENTO."/>
            <filter val="JUEGO DE BROCHA ANGULAR PARA LIMPIEZA DE MÁQUINAS"/>
            <filter val="JUEGO DE BROCHAS CARPINTERIA"/>
            <filter val="JUEGO DE CABLES UTP"/>
            <filter val="JUEGO DE CACEROLAS PARA COCINA DE INDUCCIÓN"/>
            <filter val="JUEGO DE CEPILLOS"/>
            <filter val="JUEGO DE CINCEL"/>
            <filter val="JUEGO DE CINTA DENTADA PARA SIERRA CINTA"/>
            <filter val="JUEGO DE COLADERAS"/>
            <filter val="JUEGO DE COLADORES Y ESCURRIDORES"/>
            <filter val="JUEGO DE COMPAS DE PUNTA"/>
            <filter val="JUEGO DE COMPASES"/>
            <filter val="JUEGO DE CORTADORES"/>
            <filter val="JUEGO DE CUCHARAS MEDIDORAS"/>
            <filter val="JUEGO DE CUCHARONES DE MADERA"/>
            <filter val="JUEGO DE CUCHARONES, ESPÁTULAS Y ESPUMADERAS"/>
            <filter val="JUEGO DE CUCHILLAS DE VUELTA DE BASE PLANA"/>
            <filter val="JUEGO DE CUCHILLOS"/>
            <filter val="JUEGO DE DADOS"/>
            <filter val="JUEGO DE DADOS PARA BUJÍAS"/>
            <filter val="JUEGO DE DESTORNILLADORES"/>
            <filter val="JUEGO DE DESTORNILLADORES (6 DESTORNILLADORES)"/>
            <filter val="JUEGO DE DESTORNILLADORES (8 DESTORNILLADORES)"/>
            <filter val="JUEGO DE DESTORNILLADORES DE PRECISIÓN"/>
            <filter val="JUEGO DE ESCOFINA"/>
            <filter val="JUEGO DE EXTRACTOR DE RODAJES"/>
            <filter val="JUEGO DE FORMONES"/>
            <filter val="JUEGO DE FRESAS PARA RUTEADORA"/>
            <filter val="JUEGO DE FUENTES DE VIDRIO REFRACTÁRIO"/>
            <filter val="JUEGO DE GAUGE DE LÁMINAS"/>
            <filter val="JUEGO DE GUBIAS PARA TORNO"/>
            <filter val="JUEGO DE GUIA PARA ESPIGAS O TARUGOS"/>
            <filter val="JUEGO DE HOJAS DE SIERRA"/>
            <filter val="JUEGO DE LAPEADORES DE VÁLVULA"/>
            <filter val="JUEGO DE LIMAS"/>
            <filter val="JUEGO DE LLAVES ALLEN"/>
            <filter val="JUEGO DE LLAVES ALLEN MILIMÉTRICAS Y PULGADAS"/>
            <filter val="JUEGO DE LLAVES DE DADO"/>
            <filter val="JUEGO DE LLAVES DE RUEDAS (LLAVE DE CRUZ.)"/>
            <filter val="JUEGO DE LLAVES MIXTAS"/>
            <filter val="JUEGO DE LLAVES PARA FILTROS DE ACEITE"/>
            <filter val="JUEGO DE MANIQUÍES"/>
            <filter val="JUEGO DE MARTILLO DE BOLA"/>
            <filter val="JUEGO DE MECHAS O FRESAS PARA RUTEADORA CNC"/>
            <filter val="JUEGO DE MICRÓMETRO DE INTERIORES"/>
            <filter val="JUEGO DE MINI ALICATES"/>
            <filter val="JUEGO DE MOLDES CON CONO"/>
            <filter val="JUEGO DE MOLDES DE CAKE"/>
            <filter val="JUEGO DE OLLAS PARA COCINA DE INDUCCIÓN"/>
            <filter val="JUEGO DE PINZAS"/>
            <filter val="JUEGO DE PINZAS DE COCINA"/>
            <filter val="JUEGO DE PRENDAS DE PROTECCIÓN PARA LOS PROCESOS DE SOLDAR"/>
            <filter val="JUEGO DE PRENSAS RAPIDAS"/>
            <filter val="JUEGO DE PUNTAS MAGNÉTICAS PARA DESTORNILLADOR"/>
            <filter val="JUEGO DE REGLAS DE PATRONAJE"/>
            <filter val="JUEGO DE REGLAS METÁLICAS DE 30 CM, 60 CM Y 100 CM"/>
            <filter val="JUEGO DE SARTENES PARA COCINA DE INDUCCIÓN"/>
            <filter val="JUEGO DE TABLAS PICADORAS"/>
            <filter val="JUEGO DE TAZAS MEDIDORAS"/>
            <filter val="JUEGO DE TAZONES (BOWL) DE ACERO INOXIDABLE"/>
            <filter val="JUEGO DE TIJERAS PARA TELAS"/>
            <filter val="JUEGO DE VAJILLAS"/>
            <filter val="JUEGO DE VAJILLAS PARA ENTRADA, FONDO"/>
            <filter val="JUEGOS DE BANDEJAS DE ACERO"/>
            <filter val="KIT COMPLETO DE INICIO PARA DESARROLLO DE ELECTRÓNICA CON MICROCONTROLADOR"/>
            <filter val="KIT DE COMPONENTES COMPLEMENTARIOS"/>
            <filter val="KIT DE CUCHARAS N° 3 Y N°4"/>
            <filter val="KIT DE ELECTRICIDAD PARA EL APRENDIZAJE DE ELECTRICIDAD BÁSICA_x000a_(ELECTROMAGNETISMO, CIRCUITOS ELÉCTRICOS, MOTOR ELÉCTRICO)"/>
            <filter val="KIT DE ENTRENADOR BÁSICO DE SISTEMA DE RED DE PC"/>
            <filter val="KIT DE ENTRENADOR DE REDES Y CABLEADO"/>
            <filter val="KIT DE ENTRENAMIENTO CON MICROCONTROLADORES"/>
            <filter val="KIT DE ENTRENAMIENTO DE ELECTRÓNICA DE POTENCIA"/>
            <filter val="KIT DE ENTRENAMIENTO EN LA GENERACIÓN DE ELECTRICIDAD CON ENERGÍA RENOVABLE_x000a_FOTOVOLTAICO Y EÓLICO"/>
            <filter val="KIT DE EQUIPO OXICORTE"/>
            <filter val="KIT DE ESTACIONES DE ENTRENAMIENTO DE INSTALACIONES DE SISTEMAS DE SEGURIDAD"/>
            <filter val="KIT DE GALGAS"/>
            <filter val="KIT DE INICIO DE ELECTRÓNICA BÁSICA (COMPONENTES DE ELECTRÓNICA BÁSICA)"/>
            <filter val="KIT DE LLAVES MIXTAS BOCA - CORONA"/>
            <filter val="KIT DE MOLDES PARA MANTEQUILLA CON GRABADOS DECORATIVOS"/>
            <filter val="KIT DE MOLDES PARA QUESO CON GRABADOS DECORATIVOS"/>
            <filter val="KIT DE MOTOR DE COMBUSTIÓN INTERNA V8 DE MATERIAL SINTÉTICO, ARMABLE Y DESARMABL"/>
            <filter val="KIT DE PLATAFORMA ELECTRÓNICA DE CÓDIGO ABIERTO - TARJETA DE MEGA2560"/>
            <filter val="KIT DE RELOJ COMPARADOR"/>
            <filter val="KIT DE ROBÓTICA PARA PLATAFORMA ELECTRÓNICA DE CÓDIGO ABIERTO"/>
            <filter val="KIT DE SOLDADURA - ESTACIÓN DE CALOR"/>
            <filter val="KIT DE TALADRO/DESTORNILLADOR INALÁMBRICO"/>
            <filter val="KIT DE TERRAJAS Y MACHOS EN MILÍMETROS Y PULGADAS"/>
            <filter val="KIT RESPIRADOR"/>
            <filter val="KITS DE ROBOTS &quot;NO ESTRUCTURADOS&quot;: APLICACIONES A LA INDUSTRIA"/>
            <filter val="LENTES DE PROTECCIÓN DE PLÁSTICO"/>
            <filter val="LENTES DE PROTECCIÓN DE POLICARBONATO"/>
            <filter val="LICUADORA INDUSTRIAL"/>
            <filter val="LIJADORA DE BANDA Y DISCO DE MESA"/>
            <filter val="LIJADORA ORBITAL PORTÁTIL"/>
            <filter val="LINTERNA FRONTAL"/>
            <filter val="LUPAS CON ILUMINACIÓN PARA LABORATORIO DE ELECTRÓNICA"/>
            <filter val="MAMELUCO DE PROTECCIÓN PARA PINTOR"/>
            <filter val="MANDIL DE SERRAJE"/>
            <filter val="MANDOLINA ELÉCTRICA PARA COCINA"/>
            <filter val="MÁQUINA BORDADORA SEMI INDUSTRIAL"/>
            <filter val="MÁQUINA CORTADORA MANUAL DE DISCO"/>
            <filter val="MÁQUINA DE COSER DOMÉSTICA ELECTRÓNICA DIGITAL 1200 PUNTADAS POR_x000a_MINUTO"/>
            <filter val="MÁQUINA DE COSER SEMI INDUSTRIAL MECÁNICA"/>
            <filter val="MÁQUINA DE COSTURA RECTA INDUSTRIAL"/>
            <filter val="MÁQUINA DE HELADOS CON TEMPORIZADOR"/>
            <filter val="MÁQUINA DE SOLDAR MULTIPROCESO"/>
            <filter val="MÁQUINA DE SOLDAR MULTIPROCESO CON CARRO DE TRANSPORTE"/>
            <filter val="MÁQUINA DE SOLDAR POR ELECTRODO O ARCO ELÉCTRICO"/>
            <filter val="MÁQUINA DOMÉSTICA RECUBRIDORA (COLLARETERA)"/>
            <filter val="MÁQUINA DOMÉSTICA REMALLADORA (FILETEADORA)"/>
            <filter val="MÁQUINA ENGALLETADORA"/>
            <filter val="MÁQUINA GARLOPA"/>
            <filter val="MÁQUINA PARA EL REVELADO POR INMERSIÓN"/>
            <filter val="MÁQUINA PARA EL RUTEADO DE CONTORNO Y PERFORADO"/>
            <filter val="MÁQUINA PARA LA EXPOSICIÓN FOTOGRÁFICA"/>
            <filter val="MÁQUINA PARA LA PREPARACIÓN DE OJALILLOS"/>
            <filter val="MÁQUINA TRANSFER BASE CURVA DIGITAL"/>
            <filter val="MÁQUINA TRANSFER BASE PLANA DIGITAL"/>
            <filter val="MÁQUINA TRANSFER DIGITAL CON ACCESORIOS PARA PRENDAS, GORRO, PLATOS, TAZAS,"/>
            <filter val="MÁQUINA TRICOTERA INDUSTRIAL"/>
            <filter val="MARMITA A GAS DE 10 LITROS"/>
            <filter val="MARTILLO DE BOLA"/>
            <filter val="MÁSCARA ELECTRÓNICA PARA SOLDAR"/>
            <filter val="MAZO DE GOMA"/>
            <filter val="MEDIDOR DE ENERGÍA ACTIVA MONOFÁSICO Y TRIFÁSICO"/>
            <filter val="MEGÓMETRO DIGITAL"/>
            <filter val="MESA GUÍA PARA SIERRA CALADORA"/>
            <filter val="MICRÓFONO CONDENSADOR PARA ESTUDIO"/>
            <filter val="MICRÓFONO DINÁMICO"/>
            <filter val="MICROONDAS"/>
            <filter val="MINITALADRO PORTATIL"/>
            <filter val="MÓDULO DE BLUETOOTH TIPO HC-05 PARA PLATAFORMA ELECTRÓNICA"/>
            <filter val="MÓDULO DE BLUETOOTH TIPO HC-06 PARA PLATAFORMA ELECTRÓNICA"/>
            <filter val="MÓDULO DE ENTRENAMIENTO PARA EL DESARROLLO DE CIRCUITOS ELECTRÓNICOS ANALÓGICOS Y DIGITALES"/>
            <filter val="MÓDULO DE PLC"/>
            <filter val="MÓDULO DE SISTEMA EDUCATIVO DE MOTOR DIESEL (ELECTRÓNICO)"/>
            <filter val="MÓDULO DE SISTEMA HÍBRIDO ECU HV"/>
            <filter val="MÓDULO EDUCATIVO DE MONTAJE Y DESMONTAJE DE MOTOR DE GASOLINA"/>
            <filter val="MÓDULO EDUCATIVO DE SIMULACIÓN DE MOTOR DE GASOLINA (ENTRENADOR EDUCATIVO DE MOTOR DE GASOLINA CON INYECCIÓN ELECTRÓNICA)"/>
            <filter val="MÓDULO EDUCATIVO DE SIMULACIÓN DE TRANSMISIÓN DE POTENCIA"/>
            <filter val="MÓDULO EDUCATIVO DE SISTEMA CARGA Y ARRANQUE"/>
            <filter val="MÓDULO EDUCATIVO DE SISTEMA DE ENCENDIDO (ELECTRÓNICO)"/>
            <filter val="MÓDULO EDUCATIVO DE SISTEMA DE LUCES"/>
            <filter val="MÓDULO EDUCATIVO DE SISTEMA ELÉCTRICO ELECTRÓNICO COMPUTARIZADO"/>
            <filter val="MÓDULO EDUCATIVO DE SUSPENSIÓN, DIRECCIÓN Y FRENOS"/>
            <filter val="MÓDULO EDUCATIVO Y SIMULADOR DE SISTEMA DE FRENOS ABS Y TCS CONTROL DE TRACCIÓ"/>
            <filter val="MOLDE CON CONO"/>
            <filter val="MOLINO ELÉCTRICO"/>
            <filter val="MOLINO ELÉCTRICO PULVERIZADOR DE HIERBAS Y GRANOS"/>
            <filter val="MOLINO PASTA DE CACAO"/>
            <filter val="MONITORES DE ESTUDIO (PARLANTE DE AUDIO)"/>
            <filter val="MOTOR ELÉCTRICO MONOFÁSICO"/>
            <filter val="MOTOR ELÉCTRICO TRIFÁSICO DE 12 TERMINALES"/>
            <filter val="MOTOR ELÉCTRICO TRIFÁSICO DE 6 TERMINALES"/>
            <filter val="MUESTRARIO DE ESPECIES MADERERAS"/>
            <filter val="MUESTRARIO DE TABLEROS PREFABRICADOS"/>
            <filter val="MULTÍMETRO DIGITAL"/>
            <filter val="MULTIPROCESADOR ALIMENTOS ROBOV"/>
            <filter val="MULTITESTER"/>
            <filter val="NIVEL DE NIVELACIÓN Y MEDICIÓN DE ÁNGULOS DIGITAL"/>
            <filter val="OLLA A PRESIÓN 9 LITROS"/>
            <filter val="OLLA ARROCERA"/>
            <filter val="OLLA DE BARRO"/>
            <filter val="OLLA PARA PASTAS"/>
            <filter val="OLLA PARA SOPAS Y RESERVA"/>
            <filter val="OPACÍMETRO"/>
            <filter val="OSCILOSCOPIO DIGITAL"/>
            <filter val="PAR DE BOTAS DE JEBE"/>
            <filter val="PAR DE GUANTES DE ELECTRICISTA"/>
            <filter val="PAR DE GUANTES PARA PINTAR"/>
            <filter val="PASTEURIZACIÓN DOMÉSTICO 15 LITROS"/>
            <filter val="PELA CABLE UNIVERSAL"/>
            <filter val="PELADOR DE PIÑA ACERO INOXIDABLE CORTADOR REBANADOR FRUTA"/>
            <filter val="PESA"/>
            <filter val="PIEDRA DE ASENTAR"/>
            <filter val="PILOTO DE SEÑALIZACIÓN DE LED (VERDE, AMARILLO, ROJO, BLANCO, AZUL)"/>
            <filter val="PINZA AMPERIMÉTRICA"/>
            <filter val="PINZA VOLTAMPERIMÉTRICA"/>
            <filter val="PISTOLA DE PINTAR DE GRAVEDAD"/>
            <filter val="PISTOLA DE SOLDAR"/>
            <filter val="PISTOLA SOPLADORA DE AIRE"/>
            <filter val="PIZARRA (PANTALLA) TÁCTIL INTERACTIVA MULTI-TOUCH"/>
            <filter val="PLANCHA A VAPOR"/>
            <filter val="PLANCHA A VAPOR VERTICAL"/>
            <filter val="PLANCHA DE SOBREMESA A GAS"/>
            <filter val="PLEGADORA DE PLANCHA MANUAL"/>
            <filter val="PLOTTER"/>
            <filter val="PLOTTER DE CORTE"/>
            <filter val="PLUMA HIDRÁULICA"/>
            <filter val="PRENSA HIDRÁULICA"/>
            <filter val="PRENSA HIDRÁULICA MANUAL"/>
            <filter val="PRENSA MANUAL PARA FRUTAS Y VERDURAS"/>
            <filter val="PRENSATELA DE CIERRE"/>
            <filter val="PROBADOR DE CABLES DE RED"/>
            <filter val="PROBADOR DE CABLES ELÉCTRICOS"/>
            <filter val="PROBADOR DE PRESIÓN DE COMBUSTIBLE"/>
            <filter val="PROBADORES DE PRESIÓN Y VACÍO"/>
            <filter val="PROTOBOARD: PLACA DE PRUEBAS"/>
            <filter val="PROYECTOR MULTIMEDIA"/>
            <filter val="PUNTA LÓGICA AUTOMOTOR"/>
            <filter val="REBANADORA DE PAN"/>
            <filter val="RECOGEDOR MAGNÉTICO TELESCÓPICO"/>
            <filter val="RECOLECTOR DE ACEITE"/>
            <filter val="REFRACTOMETRO MANUAL  0-32"/>
            <filter val="REFRESQUERA ENFRIADOR DE BEBIDAS"/>
            <filter val="REFRIGERADORA (CAPACIDAD 187L)"/>
            <filter val="REFRIGERADORA (CAPACIDAD 255L)"/>
            <filter val="REFRIGERADORA (CAPACIDAD 617L)"/>
            <filter val="REGLA METÁLICA DE 30 CM"/>
            <filter val="REGRUESADORA (DE MESA)"/>
            <filter val="RELÉ PROGRAMABLE"/>
            <filter val="RUTEADORA  PORTATIL"/>
            <filter val="RUTEADORA CNC"/>
            <filter val="SECADOR DE CÁMARA VERTICAL"/>
            <filter val="SELECCIONADORA DE ZARANDA"/>
            <filter val="SELLADORA AL VACÍO"/>
            <filter val="SELLADORA DE BOLSAS PLÁSTICAS"/>
            <filter val="SENSOR DE PROXIMIDAD CAPACITIVOS"/>
            <filter val="SENSOR DE PROXIMIDAD INDUCTIVOS"/>
            <filter val="SENSORES FOTOELÉCTRICOS"/>
            <filter val="SIERRA CALADORA"/>
            <filter val="SIERRA CINTA"/>
            <filter val="SIERRA CIRCULAR"/>
            <filter val="SIERRA RADIAL"/>
            <filter val="SIFON"/>
            <filter val="SIMULADOR DE SOLDADURA"/>
            <filter val="SIMULADOR VIRTUAL DE CIRCUITOS ELECTRÓNICOS ANALÓGICOS Y DIGITALES"/>
            <filter val="SOFTWARE PARA PLATAFORMA ELECTRÓNICA DE CÓDIGO ABIERTO"/>
            <filter val="SOFTWARE PARA RELÉ PROGRAMABLE"/>
            <filter val="SOFTWARE SIMULADOR DE INSTALACIONES ELÉCTRICAS DOMICILIARIAS"/>
            <filter val="SOPLETE DE COCINA MINI"/>
            <filter val="TABLA DE PICAR"/>
            <filter val="TABLET"/>
            <filter val="TABLETA GRÁFICA PORTÁTIL"/>
            <filter val="TACÓMETRO"/>
            <filter val="TALADRO DE COLUMNA"/>
            <filter val="TALADRO DE COLUMNA DE MESA"/>
            <filter val="TALADRO HORIZONTAL / ESCOPLEADORA"/>
            <filter val="TALADRO PERCUTOR PORTÁTIL"/>
            <filter val="TALADRO PORTÁTIL"/>
            <filter val="TALADRO PORTÁTIL INALÁMBRICO CON SET DE BROCAS"/>
            <filter val="TAPETE Y SUJETADOR DE PLACAS"/>
            <filter val="TARJETA O PLATAFORMA DE ELECTRÓNICA DE CÓDIGO ABIERTO"/>
            <filter val="TAZA CERNIDORA DE HARINA ACERO INOXIDABLE PASTELERÍA"/>
            <filter val="TAZÓN BOWL N° 20"/>
            <filter val="TAZÓN BOWL N° 24"/>
            <filter val="TELURÓMETRO DIGITAL"/>
            <filter val="TERMÓMETRO COCINA"/>
            <filter val="TERMÓMETRO DIGITAL"/>
            <filter val="TIJERA DE ACERO"/>
            <filter val="TINA QUESERA A GAS"/>
            <filter val="TORNO DE MADERA DE 90 CM ENTRE PUNTAS"/>
            <filter val="TORQUÍMETRO"/>
            <filter val="TRANSPORTADOR DE ANGULOS"/>
            <filter val="TRONZADORA DE METAL"/>
            <filter val="VARIADOR DE FRECUENCIA (MONOFÁSICO A TRIFÁSICO)"/>
            <filter val="VATÍMETRO DIGITAL"/>
            <filter val="VECTOR ANALIZADOR DE REDES"/>
            <filter val="WINCHA DE 3 METROS"/>
            <filter val="WINCHA DE 5 METROS"/>
            <filter val="WOK MANGO LARGO"/>
            <filter val="WOK MANGO LARGO CON TAPA"/>
            <filter val="WOK SARTEN PAELLERA"/>
          </filters>
        </filterColumn>
        <filterColumn colId="10">
          <filters>
            <filter val="90 DÍAS CALENDARIO"/>
          </filters>
        </filterColumn>
        <filterColumn colId="18">
          <colorFilter dxfId="7"/>
        </filterColumn>
        <sortState xmlns:xlrd2="http://schemas.microsoft.com/office/spreadsheetml/2017/richdata2" ref="A5:T589">
          <sortCondition ref="N5:N589"/>
          <sortCondition ref="O5:O589"/>
          <sortCondition ref="H5:H589"/>
          <sortCondition descending="1" ref="S5:S589"/>
          <sortCondition ref="F5:F589"/>
          <sortCondition ref="G5:G589"/>
          <sortCondition ref="R5:R589"/>
        </sortState>
      </autoFilter>
    </customSheetView>
    <customSheetView guid="{6A9434F6-08BD-418F-9CBA-CD20360856A9}" filter="1" showAutoFilter="1">
      <pageMargins left="0.7" right="0.7" top="0.75" bottom="0.75" header="0.3" footer="0.3"/>
      <autoFilter ref="B5:U587" xr:uid="{6578AC97-A05A-4297-BA68-26A6218F8D1C}">
        <filterColumn colId="9">
          <filters>
            <filter val="90 DÍAS CALENDARIO"/>
          </filters>
        </filterColumn>
        <sortState xmlns:xlrd2="http://schemas.microsoft.com/office/spreadsheetml/2017/richdata2" ref="B5:U587">
          <sortCondition descending="1" ref="S5:S587"/>
        </sortState>
      </autoFilter>
    </customSheetView>
    <customSheetView guid="{132BFE6F-75BB-448C-855F-F3B7328BD91A}" filter="1" showAutoFilter="1">
      <pageMargins left="0.7" right="0.7" top="0.75" bottom="0.75" header="0.3" footer="0.3"/>
      <autoFilter ref="A5:AC589" xr:uid="{24FF745A-B41A-4EE0-8D15-ABB4E78A842B}"/>
    </customSheetView>
    <customSheetView guid="{F4F20F5A-3FE8-478E-9674-ED1394ED8781}" filter="1" showAutoFilter="1">
      <pageMargins left="0.7" right="0.7" top="0.75" bottom="0.75" header="0.3" footer="0.3"/>
      <autoFilter ref="A5:AC587" xr:uid="{343AD70B-F4A8-43C8-AAFC-A7AB10DA6EE1}">
        <filterColumn colId="18">
          <colorFilter dxfId="8"/>
        </filterColumn>
        <sortState xmlns:xlrd2="http://schemas.microsoft.com/office/spreadsheetml/2017/richdata2" ref="A5:AC587">
          <sortCondition ref="G5:G587"/>
          <sortCondition ref="H5:H587"/>
        </sortState>
      </autoFilter>
    </customSheetView>
    <customSheetView guid="{5C4A1F42-F249-4607-B0F7-D0EEFD30EEDF}" filter="1" showAutoFilter="1">
      <pageMargins left="0.7" right="0.7" top="0.75" bottom="0.75" header="0.3" footer="0.3"/>
      <autoFilter ref="A5:AC589" xr:uid="{FA222747-C6CD-4ABC-AA3B-EE43613EF1B4}">
        <filterColumn colId="7">
          <filters>
            <filter val="COCINA 1 HORNILLA A GAS"/>
            <filter val="COCINA SEMI INDUSTRIAL"/>
            <filter val="COCINA SEMI INDUSTRIAL A GAS"/>
            <filter val="HORNO PASTELERO"/>
            <filter val="HORNO TOSTADOR"/>
          </filters>
        </filterColumn>
      </autoFilter>
    </customSheetView>
    <customSheetView guid="{5D8A53B3-035A-46E1-BED3-5768E7534BFA}" filter="1" showAutoFilter="1">
      <pageMargins left="0.7" right="0.7" top="0.75" bottom="0.75" header="0.3" footer="0.3"/>
      <autoFilter ref="A5:AC587" xr:uid="{B27A04C8-87EF-4FEB-958D-71F34C2325F9}">
        <filterColumn colId="2">
          <colorFilter dxfId="9"/>
        </filterColumn>
      </autoFilter>
    </customSheetView>
    <customSheetView guid="{19D6B96F-3789-45FB-BC26-51EA64B0C5D7}" filter="1" showAutoFilter="1">
      <pageMargins left="0.7" right="0.7" top="0.75" bottom="0.75" header="0.3" footer="0.3"/>
      <autoFilter ref="A5:AC589" xr:uid="{FC0C49E7-0AB8-4650-A1EC-BC9BCCB14855}">
        <filterColumn colId="2">
          <filters>
            <filter val="FALSE"/>
          </filters>
        </filterColumn>
      </autoFilter>
    </customSheetView>
    <customSheetView guid="{D48C7E64-2827-4939-A2A2-3A11149262A6}" filter="1" showAutoFilter="1">
      <pageMargins left="0.7" right="0.7" top="0.75" bottom="0.75" header="0.3" footer="0.3"/>
      <autoFilter ref="A5:U587" xr:uid="{3D95256D-7B8B-4FBD-AF38-390EE65B6191}">
        <filterColumn colId="10">
          <filters>
            <filter val="90 DÍAS CALENDARIO"/>
          </filters>
        </filterColumn>
      </autoFilter>
    </customSheetView>
  </customSheetViews>
  <mergeCells count="5">
    <mergeCell ref="C3:D3"/>
    <mergeCell ref="C4:D4"/>
    <mergeCell ref="L4:M4"/>
    <mergeCell ref="N4:R4"/>
    <mergeCell ref="S4:T4"/>
  </mergeCells>
  <conditionalFormatting sqref="B6:B110">
    <cfRule type="expression" dxfId="5" priority="1">
      <formula>IF(OR(#REF! = "COMPRAS",#REF! = ""), FALSE, TRUE)</formula>
    </cfRule>
    <cfRule type="expression" dxfId="4" priority="2">
      <formula>IF(#REF! = "BRUNO", TRUE, FALSE)</formula>
    </cfRule>
    <cfRule type="expression" dxfId="3" priority="3">
      <formula>IF(#REF! = "SEBASTIAN", TRUE, FALSE)</formula>
    </cfRule>
    <cfRule type="expression" dxfId="2" priority="4">
      <formula>IF(#REF! = "NALDI", TRUE, FALSE)</formula>
    </cfRule>
    <cfRule type="expression" dxfId="1" priority="5">
      <formula>IF(#REF! = "LUIS", TRUE, FALSE)</formula>
    </cfRule>
    <cfRule type="expression" dxfId="0" priority="6">
      <formula>IF(#REF! = "MICHEL", TRUE, FALSE)</formula>
    </cfRule>
  </conditionalFormatting>
  <dataValidations count="3">
    <dataValidation type="list" allowBlank="1" showErrorMessage="1" sqref="R6:R110" xr:uid="{00000000-0002-0000-0000-000000000000}">
      <formula1>"Manual,USB,CD,Software,NO,Guía"</formula1>
    </dataValidation>
    <dataValidation type="list" allowBlank="1" showErrorMessage="1" sqref="D6:D110" xr:uid="{00000000-0002-0000-0000-000001000000}">
      <formula1>"COCINA Y REPOSTERÍA,COMPUTACIÓN E INFORMÁTICA,CONSTRUCCIONES METÁLICAS,EBANISTERÍA,ELECTRICIDAD,ELECTRÓNICA,INDUSTRIA ALIMENTARIA,INDUSTRIA DEL VESTIDO,MECÁNICA AUTOMOTRÍZ"</formula1>
    </dataValidation>
    <dataValidation type="list" allowBlank="1" showErrorMessage="1" sqref="S6:S110" xr:uid="{00000000-0002-0000-0000-000002000000}">
      <formula1>"SI,NO,SI ( NV ),FALTA"</formula1>
    </dataValidation>
  </dataValidations>
  <hyperlinks>
    <hyperlink ref="T1" r:id="rId1" xr:uid="{00000000-0004-0000-0000-000000000000}"/>
    <hyperlink ref="H2" r:id="rId2" location="gid=602588258" xr:uid="{00000000-0004-0000-0000-000001000000}"/>
    <hyperlink ref="X2" r:id="rId3" xr:uid="{00000000-0004-0000-0000-000002000000}"/>
    <hyperlink ref="L3" r:id="rId4" xr:uid="{00000000-0004-0000-0000-000003000000}"/>
    <hyperlink ref="U4" r:id="rId5" xr:uid="{00000000-0004-0000-0000-000004000000}"/>
    <hyperlink ref="L6" r:id="rId6" location="gid=0" xr:uid="{00000000-0004-0000-0000-00006E000000}"/>
    <hyperlink ref="P6" r:id="rId7" xr:uid="{00000000-0004-0000-0000-00006F000000}"/>
    <hyperlink ref="T6" r:id="rId8" xr:uid="{00000000-0004-0000-0000-000070000000}"/>
    <hyperlink ref="U6" r:id="rId9" xr:uid="{00000000-0004-0000-0000-000071000000}"/>
    <hyperlink ref="L7" r:id="rId10" location="gid=0" xr:uid="{00000000-0004-0000-0000-00008E000000}"/>
    <hyperlink ref="P7" r:id="rId11" xr:uid="{00000000-0004-0000-0000-00008F000000}"/>
    <hyperlink ref="T7" r:id="rId12" xr:uid="{00000000-0004-0000-0000-000090000000}"/>
    <hyperlink ref="U7" r:id="rId13" xr:uid="{00000000-0004-0000-0000-000091000000}"/>
    <hyperlink ref="L8" r:id="rId14" location="gid=0" xr:uid="{00000000-0004-0000-0000-000096000000}"/>
    <hyperlink ref="P8" r:id="rId15" xr:uid="{00000000-0004-0000-0000-000097000000}"/>
    <hyperlink ref="T8" r:id="rId16" xr:uid="{00000000-0004-0000-0000-000098000000}"/>
    <hyperlink ref="U8" r:id="rId17" xr:uid="{00000000-0004-0000-0000-000099000000}"/>
    <hyperlink ref="L9" r:id="rId18" xr:uid="{00000000-0004-0000-0000-0000AA000000}"/>
    <hyperlink ref="P9" r:id="rId19" xr:uid="{00000000-0004-0000-0000-0000AB000000}"/>
    <hyperlink ref="T9" r:id="rId20" xr:uid="{00000000-0004-0000-0000-0000AC000000}"/>
    <hyperlink ref="U9" r:id="rId21" xr:uid="{00000000-0004-0000-0000-0000AD000000}"/>
    <hyperlink ref="L10" r:id="rId22" xr:uid="{00000000-0004-0000-0000-0000BA000000}"/>
    <hyperlink ref="P10" r:id="rId23" xr:uid="{00000000-0004-0000-0000-0000BB000000}"/>
    <hyperlink ref="T10" r:id="rId24" xr:uid="{00000000-0004-0000-0000-0000BC000000}"/>
    <hyperlink ref="U10" r:id="rId25" xr:uid="{00000000-0004-0000-0000-0000BD000000}"/>
    <hyperlink ref="L11" r:id="rId26" xr:uid="{00000000-0004-0000-0000-0000C6000000}"/>
    <hyperlink ref="P11" r:id="rId27" xr:uid="{00000000-0004-0000-0000-0000C7000000}"/>
    <hyperlink ref="T11" r:id="rId28" xr:uid="{00000000-0004-0000-0000-0000C8000000}"/>
    <hyperlink ref="U11" r:id="rId29" xr:uid="{00000000-0004-0000-0000-0000C9000000}"/>
    <hyperlink ref="L12" r:id="rId30" location="gid=0" xr:uid="{00000000-0004-0000-0000-0000D5000000}"/>
    <hyperlink ref="P12" r:id="rId31" xr:uid="{00000000-0004-0000-0000-0000D6000000}"/>
    <hyperlink ref="T12" r:id="rId32" xr:uid="{00000000-0004-0000-0000-0000D7000000}"/>
    <hyperlink ref="U12" r:id="rId33" xr:uid="{00000000-0004-0000-0000-0000D8000000}"/>
    <hyperlink ref="L13" r:id="rId34" location="gid=0" xr:uid="{00000000-0004-0000-0000-000024010000}"/>
    <hyperlink ref="P13" r:id="rId35" xr:uid="{00000000-0004-0000-0000-000025010000}"/>
    <hyperlink ref="T13" r:id="rId36" xr:uid="{00000000-0004-0000-0000-000026010000}"/>
    <hyperlink ref="U13" r:id="rId37" xr:uid="{00000000-0004-0000-0000-000027010000}"/>
    <hyperlink ref="L14" r:id="rId38" xr:uid="{00000000-0004-0000-0000-000081010000}"/>
    <hyperlink ref="P14" r:id="rId39" location="stp-product-rel-tools-assets" xr:uid="{00000000-0004-0000-0000-000082010000}"/>
    <hyperlink ref="T14" r:id="rId40" xr:uid="{00000000-0004-0000-0000-000083010000}"/>
    <hyperlink ref="U14" r:id="rId41" xr:uid="{00000000-0004-0000-0000-000084010000}"/>
    <hyperlink ref="L15" r:id="rId42" xr:uid="{00000000-0004-0000-0000-000085010000}"/>
    <hyperlink ref="P15" r:id="rId43" xr:uid="{00000000-0004-0000-0000-000086010000}"/>
    <hyperlink ref="T15" r:id="rId44" xr:uid="{00000000-0004-0000-0000-000087010000}"/>
    <hyperlink ref="U15" r:id="rId45" xr:uid="{00000000-0004-0000-0000-000088010000}"/>
    <hyperlink ref="L16" r:id="rId46" xr:uid="{00000000-0004-0000-0000-0000B8010000}"/>
    <hyperlink ref="P16" r:id="rId47" xr:uid="{00000000-0004-0000-0000-0000B9010000}"/>
    <hyperlink ref="T16" r:id="rId48" xr:uid="{00000000-0004-0000-0000-0000BA010000}"/>
    <hyperlink ref="U16" r:id="rId49" xr:uid="{00000000-0004-0000-0000-0000BB010000}"/>
    <hyperlink ref="L17" r:id="rId50" xr:uid="{00000000-0004-0000-0000-0000BC010000}"/>
    <hyperlink ref="P17" r:id="rId51" xr:uid="{00000000-0004-0000-0000-0000BD010000}"/>
    <hyperlink ref="T17" r:id="rId52" xr:uid="{00000000-0004-0000-0000-0000BE010000}"/>
    <hyperlink ref="U17" r:id="rId53" xr:uid="{00000000-0004-0000-0000-0000BF010000}"/>
    <hyperlink ref="W17" r:id="rId54" xr:uid="{00000000-0004-0000-0000-0000C0010000}"/>
    <hyperlink ref="L18" r:id="rId55" xr:uid="{00000000-0004-0000-0000-000069020000}"/>
    <hyperlink ref="P18" r:id="rId56" xr:uid="{00000000-0004-0000-0000-00006A020000}"/>
    <hyperlink ref="T18" r:id="rId57" xr:uid="{00000000-0004-0000-0000-00006B020000}"/>
    <hyperlink ref="U18" r:id="rId58" xr:uid="{00000000-0004-0000-0000-00006C020000}"/>
    <hyperlink ref="L19" r:id="rId59" xr:uid="{00000000-0004-0000-0000-000099020000}"/>
    <hyperlink ref="P19" r:id="rId60" xr:uid="{00000000-0004-0000-0000-00009A020000}"/>
    <hyperlink ref="T19" r:id="rId61" xr:uid="{00000000-0004-0000-0000-00009B020000}"/>
    <hyperlink ref="U19" r:id="rId62" xr:uid="{00000000-0004-0000-0000-00009C020000}"/>
    <hyperlink ref="L20" r:id="rId63" xr:uid="{00000000-0004-0000-0000-0000A1020000}"/>
    <hyperlink ref="P20" r:id="rId64" xr:uid="{00000000-0004-0000-0000-0000A2020000}"/>
    <hyperlink ref="T20" r:id="rId65" xr:uid="{00000000-0004-0000-0000-0000A3020000}"/>
    <hyperlink ref="U20" r:id="rId66" xr:uid="{00000000-0004-0000-0000-0000A4020000}"/>
    <hyperlink ref="L21" r:id="rId67" location="gid=0" xr:uid="{00000000-0004-0000-0000-0000F1020000}"/>
    <hyperlink ref="P21" r:id="rId68" xr:uid="{00000000-0004-0000-0000-0000F2020000}"/>
    <hyperlink ref="T21" r:id="rId69" xr:uid="{00000000-0004-0000-0000-0000F3020000}"/>
    <hyperlink ref="U21" r:id="rId70" xr:uid="{00000000-0004-0000-0000-0000F4020000}"/>
    <hyperlink ref="L22" r:id="rId71" location="gid=0" xr:uid="{00000000-0004-0000-0000-0000F9020000}"/>
    <hyperlink ref="P22" r:id="rId72" xr:uid="{00000000-0004-0000-0000-0000FA020000}"/>
    <hyperlink ref="T22" r:id="rId73" xr:uid="{00000000-0004-0000-0000-0000FB020000}"/>
    <hyperlink ref="U22" r:id="rId74" xr:uid="{00000000-0004-0000-0000-0000FC020000}"/>
    <hyperlink ref="L23" r:id="rId75" location="gid=0" xr:uid="{00000000-0004-0000-0000-0000FD020000}"/>
    <hyperlink ref="P23" r:id="rId76" xr:uid="{00000000-0004-0000-0000-0000FE020000}"/>
    <hyperlink ref="T23" r:id="rId77" xr:uid="{00000000-0004-0000-0000-0000FF020000}"/>
    <hyperlink ref="U23" r:id="rId78" xr:uid="{00000000-0004-0000-0000-000000030000}"/>
    <hyperlink ref="L24" r:id="rId79" location="gid=0" xr:uid="{00000000-0004-0000-0000-00001D030000}"/>
    <hyperlink ref="P24" r:id="rId80" xr:uid="{00000000-0004-0000-0000-00001E030000}"/>
    <hyperlink ref="T24" r:id="rId81" xr:uid="{00000000-0004-0000-0000-00001F030000}"/>
    <hyperlink ref="U24" r:id="rId82" xr:uid="{00000000-0004-0000-0000-000020030000}"/>
    <hyperlink ref="L25" r:id="rId83" location="gid=0" xr:uid="{00000000-0004-0000-0000-000021030000}"/>
    <hyperlink ref="P25" r:id="rId84" xr:uid="{00000000-0004-0000-0000-000022030000}"/>
    <hyperlink ref="T25" r:id="rId85" xr:uid="{00000000-0004-0000-0000-000023030000}"/>
    <hyperlink ref="U25" r:id="rId86" xr:uid="{00000000-0004-0000-0000-000024030000}"/>
    <hyperlink ref="W25" r:id="rId87" xr:uid="{00000000-0004-0000-0000-000025030000}"/>
    <hyperlink ref="L26" r:id="rId88" location="gid=0" xr:uid="{00000000-0004-0000-0000-000026030000}"/>
    <hyperlink ref="P26" r:id="rId89" xr:uid="{00000000-0004-0000-0000-000027030000}"/>
    <hyperlink ref="T26" r:id="rId90" xr:uid="{00000000-0004-0000-0000-000028030000}"/>
    <hyperlink ref="U26" r:id="rId91" xr:uid="{00000000-0004-0000-0000-000029030000}"/>
    <hyperlink ref="L27" r:id="rId92" location="gid=0" xr:uid="{00000000-0004-0000-0000-00002A030000}"/>
    <hyperlink ref="P27" r:id="rId93" xr:uid="{00000000-0004-0000-0000-00002B030000}"/>
    <hyperlink ref="T27" r:id="rId94" xr:uid="{00000000-0004-0000-0000-00002C030000}"/>
    <hyperlink ref="U27" r:id="rId95" xr:uid="{00000000-0004-0000-0000-00002D030000}"/>
    <hyperlink ref="L28" r:id="rId96" location="gid=0" xr:uid="{00000000-0004-0000-0000-00003F030000}"/>
    <hyperlink ref="P28" r:id="rId97" xr:uid="{00000000-0004-0000-0000-000040030000}"/>
    <hyperlink ref="T28" r:id="rId98" xr:uid="{00000000-0004-0000-0000-000041030000}"/>
    <hyperlink ref="U28" r:id="rId99" xr:uid="{00000000-0004-0000-0000-000042030000}"/>
    <hyperlink ref="L29" r:id="rId100" location="gid=0" xr:uid="{00000000-0004-0000-0000-000043030000}"/>
    <hyperlink ref="P29" r:id="rId101" xr:uid="{00000000-0004-0000-0000-000044030000}"/>
    <hyperlink ref="T29" r:id="rId102" xr:uid="{00000000-0004-0000-0000-000045030000}"/>
    <hyperlink ref="U29" r:id="rId103" xr:uid="{00000000-0004-0000-0000-000046030000}"/>
    <hyperlink ref="L30" r:id="rId104" location="gid=0" xr:uid="{00000000-0004-0000-0000-000053030000}"/>
    <hyperlink ref="P30" r:id="rId105" location="gid=0" xr:uid="{00000000-0004-0000-0000-000054030000}"/>
    <hyperlink ref="T30" r:id="rId106" xr:uid="{00000000-0004-0000-0000-000055030000}"/>
    <hyperlink ref="U30" r:id="rId107" xr:uid="{00000000-0004-0000-0000-000056030000}"/>
    <hyperlink ref="L31" r:id="rId108" location="gid=0" xr:uid="{00000000-0004-0000-0000-000067030000}"/>
    <hyperlink ref="P31" r:id="rId109" xr:uid="{00000000-0004-0000-0000-000068030000}"/>
    <hyperlink ref="T31" r:id="rId110" xr:uid="{00000000-0004-0000-0000-000069030000}"/>
    <hyperlink ref="U31" r:id="rId111" xr:uid="{00000000-0004-0000-0000-00006A030000}"/>
    <hyperlink ref="L32" r:id="rId112" location="gid=0" xr:uid="{00000000-0004-0000-0000-000083030000}"/>
    <hyperlink ref="P32" r:id="rId113" xr:uid="{00000000-0004-0000-0000-000084030000}"/>
    <hyperlink ref="T32" r:id="rId114" xr:uid="{00000000-0004-0000-0000-000085030000}"/>
    <hyperlink ref="U32" r:id="rId115" xr:uid="{00000000-0004-0000-0000-000086030000}"/>
    <hyperlink ref="L33" r:id="rId116" location="gid=0" xr:uid="{00000000-0004-0000-0000-00008F030000}"/>
    <hyperlink ref="P33" r:id="rId117" xr:uid="{00000000-0004-0000-0000-000090030000}"/>
    <hyperlink ref="T33" r:id="rId118" xr:uid="{00000000-0004-0000-0000-000091030000}"/>
    <hyperlink ref="U33" r:id="rId119" xr:uid="{00000000-0004-0000-0000-000092030000}"/>
    <hyperlink ref="L34" r:id="rId120" location="gid=0" xr:uid="{00000000-0004-0000-0000-0000AE030000}"/>
    <hyperlink ref="P34" r:id="rId121" xr:uid="{00000000-0004-0000-0000-0000AF030000}"/>
    <hyperlink ref="T34" r:id="rId122" xr:uid="{00000000-0004-0000-0000-0000B0030000}"/>
    <hyperlink ref="U34" r:id="rId123" xr:uid="{00000000-0004-0000-0000-0000B1030000}"/>
    <hyperlink ref="L35" r:id="rId124" location="gid=0" xr:uid="{00000000-0004-0000-0000-0000B2030000}"/>
    <hyperlink ref="P35" r:id="rId125" xr:uid="{00000000-0004-0000-0000-0000B3030000}"/>
    <hyperlink ref="T35" r:id="rId126" xr:uid="{00000000-0004-0000-0000-0000B4030000}"/>
    <hyperlink ref="U35" r:id="rId127" xr:uid="{00000000-0004-0000-0000-0000B5030000}"/>
    <hyperlink ref="L36" r:id="rId128" location="gid=0" xr:uid="{00000000-0004-0000-0000-0000BD030000}"/>
    <hyperlink ref="P36" r:id="rId129" xr:uid="{00000000-0004-0000-0000-0000BE030000}"/>
    <hyperlink ref="T36" r:id="rId130" xr:uid="{00000000-0004-0000-0000-0000BF030000}"/>
    <hyperlink ref="U36" r:id="rId131" xr:uid="{00000000-0004-0000-0000-0000C0030000}"/>
    <hyperlink ref="L37" r:id="rId132" location="gid=0" xr:uid="{00000000-0004-0000-0000-0000CF030000}"/>
    <hyperlink ref="P37" r:id="rId133" xr:uid="{00000000-0004-0000-0000-0000D0030000}"/>
    <hyperlink ref="T37" r:id="rId134" xr:uid="{00000000-0004-0000-0000-0000D1030000}"/>
    <hyperlink ref="U37" r:id="rId135" xr:uid="{00000000-0004-0000-0000-0000D2030000}"/>
    <hyperlink ref="L38" r:id="rId136" location="gid=0" xr:uid="{00000000-0004-0000-0000-0000F5030000}"/>
    <hyperlink ref="P38" r:id="rId137" xr:uid="{00000000-0004-0000-0000-0000F6030000}"/>
    <hyperlink ref="T38" r:id="rId138" xr:uid="{00000000-0004-0000-0000-0000F7030000}"/>
    <hyperlink ref="U38" r:id="rId139" xr:uid="{00000000-0004-0000-0000-0000F8030000}"/>
    <hyperlink ref="L39" r:id="rId140" location="gid=0" xr:uid="{00000000-0004-0000-0000-0000F9030000}"/>
    <hyperlink ref="P39" r:id="rId141" xr:uid="{00000000-0004-0000-0000-0000FA030000}"/>
    <hyperlink ref="T39" r:id="rId142" xr:uid="{00000000-0004-0000-0000-0000FB030000}"/>
    <hyperlink ref="U39" r:id="rId143" xr:uid="{00000000-0004-0000-0000-0000FC030000}"/>
    <hyperlink ref="L40" r:id="rId144" location="gid=0" xr:uid="{00000000-0004-0000-0000-0000FD030000}"/>
    <hyperlink ref="P40" r:id="rId145" xr:uid="{00000000-0004-0000-0000-0000FE030000}"/>
    <hyperlink ref="T40" r:id="rId146" xr:uid="{00000000-0004-0000-0000-0000FF030000}"/>
    <hyperlink ref="U40" r:id="rId147" xr:uid="{00000000-0004-0000-0000-000000040000}"/>
    <hyperlink ref="L41" r:id="rId148" location="gid=0" xr:uid="{00000000-0004-0000-0000-000001040000}"/>
    <hyperlink ref="P41" r:id="rId149" xr:uid="{00000000-0004-0000-0000-000002040000}"/>
    <hyperlink ref="T41" r:id="rId150" xr:uid="{00000000-0004-0000-0000-000003040000}"/>
    <hyperlink ref="U41" r:id="rId151" xr:uid="{00000000-0004-0000-0000-000004040000}"/>
    <hyperlink ref="L42" r:id="rId152" location="gid=0" xr:uid="{00000000-0004-0000-0000-00001A040000}"/>
    <hyperlink ref="P42" r:id="rId153" xr:uid="{00000000-0004-0000-0000-00001B040000}"/>
    <hyperlink ref="T42" r:id="rId154" xr:uid="{00000000-0004-0000-0000-00001C040000}"/>
    <hyperlink ref="U42" r:id="rId155" xr:uid="{00000000-0004-0000-0000-00001D040000}"/>
    <hyperlink ref="L43" r:id="rId156" location="gid=0" xr:uid="{00000000-0004-0000-0000-000022040000}"/>
    <hyperlink ref="T43" r:id="rId157" xr:uid="{00000000-0004-0000-0000-000023040000}"/>
    <hyperlink ref="U43" r:id="rId158" xr:uid="{00000000-0004-0000-0000-000024040000}"/>
    <hyperlink ref="L44" r:id="rId159" location="gid=0" xr:uid="{00000000-0004-0000-0000-000025040000}"/>
    <hyperlink ref="P44" r:id="rId160" xr:uid="{00000000-0004-0000-0000-000026040000}"/>
    <hyperlink ref="T44" r:id="rId161" xr:uid="{00000000-0004-0000-0000-000027040000}"/>
    <hyperlink ref="U44" r:id="rId162" xr:uid="{00000000-0004-0000-0000-000028040000}"/>
    <hyperlink ref="L45" r:id="rId163" location="gid=0" xr:uid="{00000000-0004-0000-0000-000040040000}"/>
    <hyperlink ref="P45" r:id="rId164" xr:uid="{00000000-0004-0000-0000-000041040000}"/>
    <hyperlink ref="T45" r:id="rId165" xr:uid="{00000000-0004-0000-0000-000042040000}"/>
    <hyperlink ref="U45" r:id="rId166" xr:uid="{00000000-0004-0000-0000-000043040000}"/>
    <hyperlink ref="L46" r:id="rId167" location="gid=0" xr:uid="{00000000-0004-0000-0000-00004C040000}"/>
    <hyperlink ref="P46" r:id="rId168" xr:uid="{00000000-0004-0000-0000-00004D040000}"/>
    <hyperlink ref="T46" r:id="rId169" xr:uid="{00000000-0004-0000-0000-00004E040000}"/>
    <hyperlink ref="U46" r:id="rId170" xr:uid="{00000000-0004-0000-0000-00004F040000}"/>
    <hyperlink ref="L47" r:id="rId171" location="gid=0" xr:uid="{00000000-0004-0000-0000-000058040000}"/>
    <hyperlink ref="P47" r:id="rId172" xr:uid="{00000000-0004-0000-0000-000059040000}"/>
    <hyperlink ref="T47" r:id="rId173" xr:uid="{00000000-0004-0000-0000-00005A040000}"/>
    <hyperlink ref="U47" r:id="rId174" xr:uid="{00000000-0004-0000-0000-00005B040000}"/>
    <hyperlink ref="L48" r:id="rId175" location="gid=0" xr:uid="{00000000-0004-0000-0000-00005C040000}"/>
    <hyperlink ref="P48" r:id="rId176" xr:uid="{00000000-0004-0000-0000-00005D040000}"/>
    <hyperlink ref="T48" r:id="rId177" xr:uid="{00000000-0004-0000-0000-00005E040000}"/>
    <hyperlink ref="U48" r:id="rId178" xr:uid="{00000000-0004-0000-0000-00005F040000}"/>
    <hyperlink ref="L49" r:id="rId179" location="gid=0" xr:uid="{00000000-0004-0000-0000-00006B040000}"/>
    <hyperlink ref="P49" r:id="rId180" xr:uid="{00000000-0004-0000-0000-00006C040000}"/>
    <hyperlink ref="T49" r:id="rId181" xr:uid="{00000000-0004-0000-0000-00006D040000}"/>
    <hyperlink ref="U49" r:id="rId182" xr:uid="{00000000-0004-0000-0000-00006E040000}"/>
    <hyperlink ref="L50" r:id="rId183" location="gid=0" xr:uid="{00000000-0004-0000-0000-000073040000}"/>
    <hyperlink ref="P50" r:id="rId184" xr:uid="{00000000-0004-0000-0000-000074040000}"/>
    <hyperlink ref="T50" r:id="rId185" xr:uid="{00000000-0004-0000-0000-000075040000}"/>
    <hyperlink ref="U50" r:id="rId186" xr:uid="{00000000-0004-0000-0000-000076040000}"/>
    <hyperlink ref="L51" r:id="rId187" location="gid=0" xr:uid="{00000000-0004-0000-0000-000077040000}"/>
    <hyperlink ref="P51" r:id="rId188" xr:uid="{00000000-0004-0000-0000-000078040000}"/>
    <hyperlink ref="T51" r:id="rId189" xr:uid="{00000000-0004-0000-0000-000079040000}"/>
    <hyperlink ref="U51" r:id="rId190" xr:uid="{00000000-0004-0000-0000-00007A040000}"/>
    <hyperlink ref="L52" r:id="rId191" location="gid=0" xr:uid="{00000000-0004-0000-0000-00007B040000}"/>
    <hyperlink ref="P52" r:id="rId192" xr:uid="{00000000-0004-0000-0000-00007C040000}"/>
    <hyperlink ref="T52" r:id="rId193" xr:uid="{00000000-0004-0000-0000-00007D040000}"/>
    <hyperlink ref="U52" r:id="rId194" xr:uid="{00000000-0004-0000-0000-00007E040000}"/>
    <hyperlink ref="L53" r:id="rId195" location="gid=0" xr:uid="{00000000-0004-0000-0000-00007F040000}"/>
    <hyperlink ref="P53" r:id="rId196" xr:uid="{00000000-0004-0000-0000-000080040000}"/>
    <hyperlink ref="T53" r:id="rId197" xr:uid="{00000000-0004-0000-0000-000081040000}"/>
    <hyperlink ref="U53" r:id="rId198" xr:uid="{00000000-0004-0000-0000-000082040000}"/>
    <hyperlink ref="L54" r:id="rId199" location="gid=0" xr:uid="{00000000-0004-0000-0000-000083040000}"/>
    <hyperlink ref="P54" r:id="rId200" xr:uid="{00000000-0004-0000-0000-000084040000}"/>
    <hyperlink ref="T54" r:id="rId201" xr:uid="{00000000-0004-0000-0000-000085040000}"/>
    <hyperlink ref="U54" r:id="rId202" xr:uid="{00000000-0004-0000-0000-000086040000}"/>
    <hyperlink ref="L55" r:id="rId203" location="gid=0" xr:uid="{00000000-0004-0000-0000-000087040000}"/>
    <hyperlink ref="P55" r:id="rId204" xr:uid="{00000000-0004-0000-0000-000088040000}"/>
    <hyperlink ref="T55" r:id="rId205" xr:uid="{00000000-0004-0000-0000-000089040000}"/>
    <hyperlink ref="U55" r:id="rId206" xr:uid="{00000000-0004-0000-0000-00008A040000}"/>
    <hyperlink ref="L56" r:id="rId207" location="gid=0" xr:uid="{00000000-0004-0000-0000-00008F040000}"/>
    <hyperlink ref="T56" r:id="rId208" xr:uid="{00000000-0004-0000-0000-000090040000}"/>
    <hyperlink ref="U56" r:id="rId209" xr:uid="{00000000-0004-0000-0000-000091040000}"/>
    <hyperlink ref="L57" r:id="rId210" location="gid=0" xr:uid="{00000000-0004-0000-0000-000096040000}"/>
    <hyperlink ref="P57" r:id="rId211" xr:uid="{00000000-0004-0000-0000-000097040000}"/>
    <hyperlink ref="T57" r:id="rId212" xr:uid="{00000000-0004-0000-0000-000098040000}"/>
    <hyperlink ref="U57" r:id="rId213" xr:uid="{00000000-0004-0000-0000-000099040000}"/>
    <hyperlink ref="L58" r:id="rId214" location="gid=0" xr:uid="{00000000-0004-0000-0000-0000A6040000}"/>
    <hyperlink ref="P58" r:id="rId215" xr:uid="{00000000-0004-0000-0000-0000A7040000}"/>
    <hyperlink ref="T58" r:id="rId216" xr:uid="{00000000-0004-0000-0000-0000A8040000}"/>
    <hyperlink ref="U58" r:id="rId217" xr:uid="{00000000-0004-0000-0000-0000A9040000}"/>
    <hyperlink ref="L59" r:id="rId218" location="gid=0" xr:uid="{00000000-0004-0000-0000-0000BE040000}"/>
    <hyperlink ref="P59" r:id="rId219" xr:uid="{00000000-0004-0000-0000-0000BF040000}"/>
    <hyperlink ref="T59" r:id="rId220" xr:uid="{00000000-0004-0000-0000-0000C0040000}"/>
    <hyperlink ref="U59" r:id="rId221" xr:uid="{00000000-0004-0000-0000-0000C1040000}"/>
    <hyperlink ref="L60" r:id="rId222" location="gid=0" xr:uid="{00000000-0004-0000-0000-0000E4040000}"/>
    <hyperlink ref="U60" r:id="rId223" xr:uid="{00000000-0004-0000-0000-0000E5040000}"/>
    <hyperlink ref="L61" r:id="rId224" location="gid=0" xr:uid="{00000000-0004-0000-0000-0000E6040000}"/>
    <hyperlink ref="U61" r:id="rId225" xr:uid="{00000000-0004-0000-0000-0000E7040000}"/>
    <hyperlink ref="L62" r:id="rId226" location="gid=0" xr:uid="{00000000-0004-0000-0000-0000E8040000}"/>
    <hyperlink ref="T62" r:id="rId227" xr:uid="{00000000-0004-0000-0000-0000E9040000}"/>
    <hyperlink ref="U62" r:id="rId228" xr:uid="{00000000-0004-0000-0000-0000EA040000}"/>
    <hyperlink ref="L63" r:id="rId229" location="gid=0" xr:uid="{00000000-0004-0000-0000-0000EF040000}"/>
    <hyperlink ref="P63" r:id="rId230" xr:uid="{00000000-0004-0000-0000-0000F0040000}"/>
    <hyperlink ref="T63" r:id="rId231" xr:uid="{00000000-0004-0000-0000-0000F1040000}"/>
    <hyperlink ref="U63" r:id="rId232" xr:uid="{00000000-0004-0000-0000-0000F2040000}"/>
    <hyperlink ref="L64" r:id="rId233" location="gid=0" xr:uid="{00000000-0004-0000-0000-000006050000}"/>
    <hyperlink ref="P64" r:id="rId234" xr:uid="{00000000-0004-0000-0000-000007050000}"/>
    <hyperlink ref="T64" r:id="rId235" xr:uid="{00000000-0004-0000-0000-000008050000}"/>
    <hyperlink ref="U64" r:id="rId236" xr:uid="{00000000-0004-0000-0000-000009050000}"/>
    <hyperlink ref="L65" r:id="rId237" location="gid=0" xr:uid="{00000000-0004-0000-0000-000011050000}"/>
    <hyperlink ref="P65" r:id="rId238" xr:uid="{00000000-0004-0000-0000-000012050000}"/>
    <hyperlink ref="T65" r:id="rId239" xr:uid="{00000000-0004-0000-0000-000013050000}"/>
    <hyperlink ref="U65" r:id="rId240" xr:uid="{00000000-0004-0000-0000-000014050000}"/>
    <hyperlink ref="L66" r:id="rId241" location="gid=0" xr:uid="{00000000-0004-0000-0000-000077050000}"/>
    <hyperlink ref="P66" r:id="rId242" xr:uid="{00000000-0004-0000-0000-000078050000}"/>
    <hyperlink ref="T66" r:id="rId243" xr:uid="{00000000-0004-0000-0000-000079050000}"/>
    <hyperlink ref="U66" r:id="rId244" xr:uid="{00000000-0004-0000-0000-00007A050000}"/>
    <hyperlink ref="L67" r:id="rId245" location="gid=0" xr:uid="{00000000-0004-0000-0000-000083050000}"/>
    <hyperlink ref="P67" r:id="rId246" xr:uid="{00000000-0004-0000-0000-000084050000}"/>
    <hyperlink ref="T67" r:id="rId247" xr:uid="{00000000-0004-0000-0000-000085050000}"/>
    <hyperlink ref="U67" r:id="rId248" xr:uid="{00000000-0004-0000-0000-000086050000}"/>
    <hyperlink ref="L68" r:id="rId249" location="gid=0" xr:uid="{00000000-0004-0000-0000-00008F050000}"/>
    <hyperlink ref="P68" r:id="rId250" xr:uid="{00000000-0004-0000-0000-000090050000}"/>
    <hyperlink ref="T68" r:id="rId251" xr:uid="{00000000-0004-0000-0000-000091050000}"/>
    <hyperlink ref="U68" r:id="rId252" xr:uid="{00000000-0004-0000-0000-000092050000}"/>
    <hyperlink ref="L69" r:id="rId253" location="gid=0" xr:uid="{00000000-0004-0000-0000-0000AE050000}"/>
    <hyperlink ref="T69" r:id="rId254" xr:uid="{00000000-0004-0000-0000-0000AF050000}"/>
    <hyperlink ref="U69" r:id="rId255" xr:uid="{00000000-0004-0000-0000-0000B0050000}"/>
    <hyperlink ref="L70" r:id="rId256" location="gid=0" xr:uid="{00000000-0004-0000-0000-0000B8050000}"/>
    <hyperlink ref="T70" r:id="rId257" xr:uid="{00000000-0004-0000-0000-0000B9050000}"/>
    <hyperlink ref="U70" r:id="rId258" xr:uid="{00000000-0004-0000-0000-0000BA050000}"/>
    <hyperlink ref="L71" r:id="rId259" location="gid=0" xr:uid="{00000000-0004-0000-0000-0000EF050000}"/>
    <hyperlink ref="P71" r:id="rId260" xr:uid="{00000000-0004-0000-0000-0000F0050000}"/>
    <hyperlink ref="T71" r:id="rId261" xr:uid="{00000000-0004-0000-0000-0000F1050000}"/>
    <hyperlink ref="U71" r:id="rId262" xr:uid="{00000000-0004-0000-0000-0000F2050000}"/>
    <hyperlink ref="L72" r:id="rId263" location="gid=0" xr:uid="{00000000-0004-0000-0000-0000FA050000}"/>
    <hyperlink ref="P72" r:id="rId264" xr:uid="{00000000-0004-0000-0000-0000FB050000}"/>
    <hyperlink ref="T72" r:id="rId265" xr:uid="{00000000-0004-0000-0000-0000FC050000}"/>
    <hyperlink ref="U72" r:id="rId266" xr:uid="{00000000-0004-0000-0000-0000FD050000}"/>
    <hyperlink ref="L73" r:id="rId267" location="gid=0" xr:uid="{00000000-0004-0000-0000-0000FE050000}"/>
    <hyperlink ref="P73" r:id="rId268" xr:uid="{00000000-0004-0000-0000-0000FF050000}"/>
    <hyperlink ref="T73" r:id="rId269" xr:uid="{00000000-0004-0000-0000-000000060000}"/>
    <hyperlink ref="U73" r:id="rId270" xr:uid="{00000000-0004-0000-0000-000001060000}"/>
    <hyperlink ref="L74" r:id="rId271" location="gid=0" xr:uid="{00000000-0004-0000-0000-000002060000}"/>
    <hyperlink ref="P74" r:id="rId272" xr:uid="{00000000-0004-0000-0000-000003060000}"/>
    <hyperlink ref="T74" r:id="rId273" xr:uid="{00000000-0004-0000-0000-000004060000}"/>
    <hyperlink ref="U74" r:id="rId274" xr:uid="{00000000-0004-0000-0000-000005060000}"/>
    <hyperlink ref="L75" r:id="rId275" location="gid=0" xr:uid="{00000000-0004-0000-0000-000006060000}"/>
    <hyperlink ref="P75" r:id="rId276" xr:uid="{00000000-0004-0000-0000-000007060000}"/>
    <hyperlink ref="T75" r:id="rId277" xr:uid="{00000000-0004-0000-0000-000008060000}"/>
    <hyperlink ref="U75" r:id="rId278" xr:uid="{00000000-0004-0000-0000-000009060000}"/>
    <hyperlink ref="L76" r:id="rId279" location="gid=0" xr:uid="{00000000-0004-0000-0000-000018060000}"/>
    <hyperlink ref="T76" r:id="rId280" xr:uid="{00000000-0004-0000-0000-000019060000}"/>
    <hyperlink ref="U76" r:id="rId281" xr:uid="{00000000-0004-0000-0000-00001A060000}"/>
    <hyperlink ref="L77" r:id="rId282" location="gid=0" xr:uid="{00000000-0004-0000-0000-00001B060000}"/>
    <hyperlink ref="P77" r:id="rId283" xr:uid="{00000000-0004-0000-0000-00001C060000}"/>
    <hyperlink ref="T77" r:id="rId284" xr:uid="{00000000-0004-0000-0000-00001D060000}"/>
    <hyperlink ref="U77" r:id="rId285" xr:uid="{00000000-0004-0000-0000-00001E060000}"/>
    <hyperlink ref="L78" r:id="rId286" location="gid=0" xr:uid="{00000000-0004-0000-0000-000027060000}"/>
    <hyperlink ref="P78" r:id="rId287" xr:uid="{00000000-0004-0000-0000-000028060000}"/>
    <hyperlink ref="T78" r:id="rId288" xr:uid="{00000000-0004-0000-0000-000029060000}"/>
    <hyperlink ref="U78" r:id="rId289" xr:uid="{00000000-0004-0000-0000-00002A060000}"/>
    <hyperlink ref="L79" r:id="rId290" location="gid=0" xr:uid="{00000000-0004-0000-0000-000036060000}"/>
    <hyperlink ref="P79" r:id="rId291" xr:uid="{00000000-0004-0000-0000-000037060000}"/>
    <hyperlink ref="T79" r:id="rId292" xr:uid="{00000000-0004-0000-0000-000038060000}"/>
    <hyperlink ref="U79" r:id="rId293" xr:uid="{00000000-0004-0000-0000-000039060000}"/>
    <hyperlink ref="L80" r:id="rId294" location="gid=0" xr:uid="{00000000-0004-0000-0000-00004D060000}"/>
    <hyperlink ref="P80" r:id="rId295" xr:uid="{00000000-0004-0000-0000-00004E060000}"/>
    <hyperlink ref="T80" r:id="rId296" xr:uid="{00000000-0004-0000-0000-00004F060000}"/>
    <hyperlink ref="U80" r:id="rId297" xr:uid="{00000000-0004-0000-0000-000050060000}"/>
    <hyperlink ref="L81" r:id="rId298" location="gid=0" xr:uid="{00000000-0004-0000-0000-00005C060000}"/>
    <hyperlink ref="P81" r:id="rId299" xr:uid="{00000000-0004-0000-0000-00005D060000}"/>
    <hyperlink ref="T81" r:id="rId300" xr:uid="{00000000-0004-0000-0000-00005E060000}"/>
    <hyperlink ref="U81" r:id="rId301" xr:uid="{00000000-0004-0000-0000-00005F060000}"/>
    <hyperlink ref="L82" r:id="rId302" location="gid=0 " xr:uid="{00000000-0004-0000-0000-000068060000}"/>
    <hyperlink ref="T82" r:id="rId303" xr:uid="{00000000-0004-0000-0000-000069060000}"/>
    <hyperlink ref="U82" r:id="rId304" xr:uid="{00000000-0004-0000-0000-00006A060000}"/>
    <hyperlink ref="L83" r:id="rId305" location="gid=0" xr:uid="{00000000-0004-0000-0000-00006B060000}"/>
    <hyperlink ref="P83" r:id="rId306" xr:uid="{00000000-0004-0000-0000-00006C060000}"/>
    <hyperlink ref="T83" r:id="rId307" xr:uid="{00000000-0004-0000-0000-00006D060000}"/>
    <hyperlink ref="U83" r:id="rId308" xr:uid="{00000000-0004-0000-0000-00006E060000}"/>
    <hyperlink ref="L84" r:id="rId309" location="gid=0" xr:uid="{00000000-0004-0000-0000-00007B060000}"/>
    <hyperlink ref="P84" r:id="rId310" xr:uid="{00000000-0004-0000-0000-00007C060000}"/>
    <hyperlink ref="T84" r:id="rId311" xr:uid="{00000000-0004-0000-0000-00007D060000}"/>
    <hyperlink ref="U84" r:id="rId312" xr:uid="{00000000-0004-0000-0000-00007E060000}"/>
    <hyperlink ref="L85" r:id="rId313" location="gid=0" xr:uid="{00000000-0004-0000-0000-000082060000}"/>
    <hyperlink ref="P85" r:id="rId314" xr:uid="{00000000-0004-0000-0000-000083060000}"/>
    <hyperlink ref="T85" r:id="rId315" xr:uid="{00000000-0004-0000-0000-000084060000}"/>
    <hyperlink ref="U85" r:id="rId316" xr:uid="{00000000-0004-0000-0000-000085060000}"/>
    <hyperlink ref="L86" r:id="rId317" location="gid=0" xr:uid="{00000000-0004-0000-0000-000086060000}"/>
    <hyperlink ref="P86" r:id="rId318" xr:uid="{00000000-0004-0000-0000-000087060000}"/>
    <hyperlink ref="T86" r:id="rId319" xr:uid="{00000000-0004-0000-0000-000088060000}"/>
    <hyperlink ref="U86" r:id="rId320" xr:uid="{00000000-0004-0000-0000-000089060000}"/>
    <hyperlink ref="L87" r:id="rId321" location="gid=0" xr:uid="{00000000-0004-0000-0000-0000C6060000}"/>
    <hyperlink ref="T87" r:id="rId322" xr:uid="{00000000-0004-0000-0000-0000C7060000}"/>
    <hyperlink ref="U87" r:id="rId323" xr:uid="{00000000-0004-0000-0000-0000C8060000}"/>
    <hyperlink ref="L88" r:id="rId324" location="gid=0" xr:uid="{00000000-0004-0000-0000-0000D8060000}"/>
    <hyperlink ref="P88" r:id="rId325" xr:uid="{00000000-0004-0000-0000-0000D9060000}"/>
    <hyperlink ref="T88" r:id="rId326" xr:uid="{00000000-0004-0000-0000-0000DA060000}"/>
    <hyperlink ref="U88" r:id="rId327" xr:uid="{00000000-0004-0000-0000-0000DB060000}"/>
    <hyperlink ref="L89" r:id="rId328" location="gid=0" xr:uid="{00000000-0004-0000-0000-0000DC060000}"/>
    <hyperlink ref="P89" r:id="rId329" xr:uid="{00000000-0004-0000-0000-0000DD060000}"/>
    <hyperlink ref="T89" r:id="rId330" xr:uid="{00000000-0004-0000-0000-0000DE060000}"/>
    <hyperlink ref="U89" r:id="rId331" xr:uid="{00000000-0004-0000-0000-0000DF060000}"/>
    <hyperlink ref="L90" r:id="rId332" location="gid=0" xr:uid="{00000000-0004-0000-0000-00001C070000}"/>
    <hyperlink ref="P90" r:id="rId333" xr:uid="{00000000-0004-0000-0000-00001D070000}"/>
    <hyperlink ref="T90" r:id="rId334" xr:uid="{00000000-0004-0000-0000-00001E070000}"/>
    <hyperlink ref="U90" r:id="rId335" xr:uid="{00000000-0004-0000-0000-00001F070000}"/>
    <hyperlink ref="L91" r:id="rId336" location="gid=0" xr:uid="{00000000-0004-0000-0000-00004B070000}"/>
    <hyperlink ref="T91" r:id="rId337" xr:uid="{00000000-0004-0000-0000-00004C070000}"/>
    <hyperlink ref="U91" r:id="rId338" xr:uid="{00000000-0004-0000-0000-00004D070000}"/>
    <hyperlink ref="L92" r:id="rId339" location="gid=0" xr:uid="{00000000-0004-0000-0000-000052070000}"/>
    <hyperlink ref="T92" r:id="rId340" xr:uid="{00000000-0004-0000-0000-000053070000}"/>
    <hyperlink ref="U92" r:id="rId341" xr:uid="{00000000-0004-0000-0000-000054070000}"/>
    <hyperlink ref="L93" r:id="rId342" location="gid=0" xr:uid="{00000000-0004-0000-0000-000063070000}"/>
    <hyperlink ref="P93" r:id="rId343" xr:uid="{00000000-0004-0000-0000-000064070000}"/>
    <hyperlink ref="T93" r:id="rId344" xr:uid="{00000000-0004-0000-0000-000065070000}"/>
    <hyperlink ref="U93" r:id="rId345" xr:uid="{00000000-0004-0000-0000-000066070000}"/>
    <hyperlink ref="L94" r:id="rId346" location="gid=0" xr:uid="{00000000-0004-0000-0000-000083070000}"/>
    <hyperlink ref="T94" r:id="rId347" xr:uid="{00000000-0004-0000-0000-000084070000}"/>
    <hyperlink ref="U94" r:id="rId348" xr:uid="{00000000-0004-0000-0000-000085070000}"/>
    <hyperlink ref="L95" r:id="rId349" location="gid=0" xr:uid="{00000000-0004-0000-0000-00008A070000}"/>
    <hyperlink ref="P95" r:id="rId350" location="/27-color-azul_marino/910-talla-2" xr:uid="{00000000-0004-0000-0000-00008B070000}"/>
    <hyperlink ref="T95" r:id="rId351" xr:uid="{00000000-0004-0000-0000-00008C070000}"/>
    <hyperlink ref="U95" r:id="rId352" xr:uid="{00000000-0004-0000-0000-00008D070000}"/>
    <hyperlink ref="L96" r:id="rId353" location="gid=0" xr:uid="{00000000-0004-0000-0000-0000D1070000}"/>
    <hyperlink ref="T96" r:id="rId354" xr:uid="{00000000-0004-0000-0000-0000D2070000}"/>
    <hyperlink ref="U96" r:id="rId355" xr:uid="{00000000-0004-0000-0000-0000D3070000}"/>
    <hyperlink ref="L97" r:id="rId356" location="gid=0" xr:uid="{00000000-0004-0000-0000-0000E7070000}"/>
    <hyperlink ref="P97" r:id="rId357" xr:uid="{00000000-0004-0000-0000-0000E8070000}"/>
    <hyperlink ref="T97" r:id="rId358" xr:uid="{00000000-0004-0000-0000-0000E9070000}"/>
    <hyperlink ref="U97" r:id="rId359" xr:uid="{00000000-0004-0000-0000-0000EA070000}"/>
    <hyperlink ref="L98" r:id="rId360" location="gid=0" xr:uid="{00000000-0004-0000-0000-0000EB070000}"/>
    <hyperlink ref="P98" r:id="rId361" xr:uid="{00000000-0004-0000-0000-0000EC070000}"/>
    <hyperlink ref="T98" r:id="rId362" xr:uid="{00000000-0004-0000-0000-0000ED070000}"/>
    <hyperlink ref="U98" r:id="rId363" xr:uid="{00000000-0004-0000-0000-0000EE070000}"/>
    <hyperlink ref="L99" r:id="rId364" location="gid=0" xr:uid="{00000000-0004-0000-0000-0000EF070000}"/>
    <hyperlink ref="T99" r:id="rId365" xr:uid="{00000000-0004-0000-0000-0000F0070000}"/>
    <hyperlink ref="U99" r:id="rId366" xr:uid="{00000000-0004-0000-0000-0000F1070000}"/>
    <hyperlink ref="L100" r:id="rId367" location="gid=0" xr:uid="{00000000-0004-0000-0000-0000FA070000}"/>
    <hyperlink ref="P100" r:id="rId368" xr:uid="{00000000-0004-0000-0000-0000FB070000}"/>
    <hyperlink ref="T100" r:id="rId369" xr:uid="{00000000-0004-0000-0000-0000FC070000}"/>
    <hyperlink ref="U100" r:id="rId370" xr:uid="{00000000-0004-0000-0000-0000FD070000}"/>
    <hyperlink ref="L101" r:id="rId371" location="gid=0" xr:uid="{00000000-0004-0000-0000-000029080000}"/>
    <hyperlink ref="T101" r:id="rId372" xr:uid="{00000000-0004-0000-0000-00002A080000}"/>
    <hyperlink ref="U101" r:id="rId373" xr:uid="{00000000-0004-0000-0000-00002B080000}"/>
    <hyperlink ref="L102" r:id="rId374" location="gid=0" xr:uid="{00000000-0004-0000-0000-000079080000}"/>
    <hyperlink ref="P102" r:id="rId375" xr:uid="{00000000-0004-0000-0000-00007A080000}"/>
    <hyperlink ref="T102" r:id="rId376" xr:uid="{00000000-0004-0000-0000-00007B080000}"/>
    <hyperlink ref="U102" r:id="rId377" xr:uid="{00000000-0004-0000-0000-00007C080000}"/>
    <hyperlink ref="L103" r:id="rId378" location="gid=0" xr:uid="{00000000-0004-0000-0000-000081080000}"/>
    <hyperlink ref="P103" r:id="rId379" xr:uid="{00000000-0004-0000-0000-000082080000}"/>
    <hyperlink ref="T103" r:id="rId380" xr:uid="{00000000-0004-0000-0000-000083080000}"/>
    <hyperlink ref="U103" r:id="rId381" xr:uid="{00000000-0004-0000-0000-000084080000}"/>
    <hyperlink ref="L104" r:id="rId382" xr:uid="{00000000-0004-0000-0000-000085080000}"/>
    <hyperlink ref="U104" r:id="rId383" xr:uid="{00000000-0004-0000-0000-000086080000}"/>
    <hyperlink ref="L105" r:id="rId384" location="gid=0" xr:uid="{00000000-0004-0000-0000-00008B080000}"/>
    <hyperlink ref="P105" r:id="rId385" xr:uid="{00000000-0004-0000-0000-00008C080000}"/>
    <hyperlink ref="T105" r:id="rId386" xr:uid="{00000000-0004-0000-0000-00008D080000}"/>
    <hyperlink ref="U105" r:id="rId387" xr:uid="{00000000-0004-0000-0000-00008E080000}"/>
    <hyperlink ref="L106" r:id="rId388" location="gid=0" xr:uid="{00000000-0004-0000-0000-000093080000}"/>
    <hyperlink ref="P106" r:id="rId389" xr:uid="{00000000-0004-0000-0000-000094080000}"/>
    <hyperlink ref="U106" r:id="rId390" xr:uid="{00000000-0004-0000-0000-000095080000}"/>
    <hyperlink ref="L107" r:id="rId391" location="gid=0" xr:uid="{00000000-0004-0000-0000-000096080000}"/>
    <hyperlink ref="U107" r:id="rId392" xr:uid="{00000000-0004-0000-0000-000097080000}"/>
    <hyperlink ref="L108" r:id="rId393" xr:uid="{00000000-0004-0000-0000-00009C080000}"/>
    <hyperlink ref="U108" r:id="rId394" xr:uid="{00000000-0004-0000-0000-00009D080000}"/>
    <hyperlink ref="L109" r:id="rId395" location="gid=0" xr:uid="{00000000-0004-0000-0000-0000A3080000}"/>
    <hyperlink ref="P109" r:id="rId396" xr:uid="{00000000-0004-0000-0000-0000A4080000}"/>
    <hyperlink ref="U109" r:id="rId397" xr:uid="{00000000-0004-0000-0000-0000A5080000}"/>
    <hyperlink ref="L110" r:id="rId398" xr:uid="{00000000-0004-0000-0000-0000AA080000}"/>
    <hyperlink ref="P110" r:id="rId399" xr:uid="{00000000-0004-0000-0000-0000AB080000}"/>
    <hyperlink ref="T110" r:id="rId400" xr:uid="{00000000-0004-0000-0000-0000AC080000}"/>
    <hyperlink ref="U110" r:id="rId401" xr:uid="{00000000-0004-0000-0000-0000AD080000}"/>
  </hyperlinks>
  <pageMargins left="0.7" right="0.7" top="0.75" bottom="0.75" header="0" footer="0"/>
  <pageSetup orientation="landscape"/>
  <legacyDrawing r:id="rId4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LT-LBN0CX15H360475</dc:creator>
  <cp:lastModifiedBy>LT-LBN0CX15H360475</cp:lastModifiedBy>
  <dcterms:created xsi:type="dcterms:W3CDTF">2026-02-26T21:43:58Z</dcterms:created>
  <dcterms:modified xsi:type="dcterms:W3CDTF">2026-02-27T13:33:55Z</dcterms:modified>
</cp:coreProperties>
</file>